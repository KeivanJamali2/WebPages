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id\Desktop\"/>
    </mc:Choice>
  </mc:AlternateContent>
  <xr:revisionPtr revIDLastSave="0" documentId="8_{D3D24854-DCA2-4C48-AAF5-B9423D9CFDAF}" xr6:coauthVersionLast="47" xr6:coauthVersionMax="47" xr10:uidLastSave="{00000000-0000-0000-0000-000000000000}"/>
  <bookViews>
    <workbookView xWindow="-120" yWindow="-120" windowWidth="20730" windowHeight="11040" tabRatio="601" firstSheet="23" activeTab="29" xr2:uid="{00000000-000D-0000-FFFF-FFFF00000000}"/>
  </bookViews>
  <sheets>
    <sheet name="1404-08-01" sheetId="184" r:id="rId1"/>
    <sheet name="1404-08-02" sheetId="185" r:id="rId2"/>
    <sheet name="1404-08-03" sheetId="186" r:id="rId3"/>
    <sheet name="1404-08-04" sheetId="187" r:id="rId4"/>
    <sheet name="1404-08-05" sheetId="188" r:id="rId5"/>
    <sheet name="1404-08-06" sheetId="189" r:id="rId6"/>
    <sheet name="1404-08-07" sheetId="190" r:id="rId7"/>
    <sheet name="1404-08-08" sheetId="191" r:id="rId8"/>
    <sheet name="1404-08-09" sheetId="192" r:id="rId9"/>
    <sheet name="1404-08-10" sheetId="193" r:id="rId10"/>
    <sheet name="1404-08-11" sheetId="194" r:id="rId11"/>
    <sheet name="1404-08-12" sheetId="195" r:id="rId12"/>
    <sheet name="1404-08-13" sheetId="196" r:id="rId13"/>
    <sheet name="1404-08-14" sheetId="197" r:id="rId14"/>
    <sheet name="1404-08-15" sheetId="198" r:id="rId15"/>
    <sheet name="1404-08-16" sheetId="199" r:id="rId16"/>
    <sheet name="1404-08-17" sheetId="200" r:id="rId17"/>
    <sheet name="1404-08-18" sheetId="201" r:id="rId18"/>
    <sheet name="1404-08-19" sheetId="202" r:id="rId19"/>
    <sheet name="1404-08-20" sheetId="203" r:id="rId20"/>
    <sheet name="1404-08-21" sheetId="204" r:id="rId21"/>
    <sheet name="1404-08-22" sheetId="205" r:id="rId22"/>
    <sheet name="1404-08-23" sheetId="206" r:id="rId23"/>
    <sheet name="1404-08-24" sheetId="207" r:id="rId24"/>
    <sheet name="1404-08-25" sheetId="208" r:id="rId25"/>
    <sheet name="1404-08-26" sheetId="209" r:id="rId26"/>
    <sheet name="1404-08.27" sheetId="211" r:id="rId27"/>
    <sheet name="1404-08.28" sheetId="210" r:id="rId28"/>
    <sheet name="1404-08.29" sheetId="212" r:id="rId29"/>
    <sheet name="1404-08.30" sheetId="213" r:id="rId30"/>
  </sheets>
  <definedNames>
    <definedName name="_xlnm._FilterDatabase" localSheetId="26" hidden="1">'1404-08.27'!$A$6:$AE$47</definedName>
    <definedName name="_xlnm._FilterDatabase" localSheetId="27" hidden="1">'1404-08.28'!$A$6:$AE$47</definedName>
    <definedName name="_xlnm._FilterDatabase" localSheetId="28" hidden="1">'1404-08.29'!$A$6:$AE$47</definedName>
    <definedName name="_xlnm._FilterDatabase" localSheetId="29" hidden="1">'1404-08.30'!$A$6:$AE$47</definedName>
    <definedName name="_xlnm._FilterDatabase" localSheetId="0" hidden="1">'1404-08-01'!$A$6:$AE$51</definedName>
    <definedName name="_xlnm._FilterDatabase" localSheetId="1" hidden="1">'1404-08-02'!$A$6:$AE$51</definedName>
    <definedName name="_xlnm._FilterDatabase" localSheetId="2" hidden="1">'1404-08-03'!$A$6:$AE$51</definedName>
    <definedName name="_xlnm._FilterDatabase" localSheetId="3" hidden="1">'1404-08-04'!$A$6:$AE$51</definedName>
    <definedName name="_xlnm._FilterDatabase" localSheetId="4" hidden="1">'1404-08-05'!$A$6:$AE$51</definedName>
    <definedName name="_xlnm._FilterDatabase" localSheetId="5" hidden="1">'1404-08-06'!$A$6:$AE$51</definedName>
    <definedName name="_xlnm._FilterDatabase" localSheetId="6" hidden="1">'1404-08-07'!$A$6:$AE$52</definedName>
    <definedName name="_xlnm._FilterDatabase" localSheetId="7" hidden="1">'1404-08-08'!$A$6:$AE$52</definedName>
    <definedName name="_xlnm._FilterDatabase" localSheetId="8" hidden="1">'1404-08-09'!$A$6:$AE$52</definedName>
    <definedName name="_xlnm._FilterDatabase" localSheetId="9" hidden="1">'1404-08-10'!$A$6:$AE$53</definedName>
    <definedName name="_xlnm._FilterDatabase" localSheetId="10" hidden="1">'1404-08-11'!$A$6:$AE$53</definedName>
    <definedName name="_xlnm._FilterDatabase" localSheetId="11" hidden="1">'1404-08-12'!$A$6:$AE$51</definedName>
    <definedName name="_xlnm._FilterDatabase" localSheetId="12" hidden="1">'1404-08-13'!$A$6:$AE$51</definedName>
    <definedName name="_xlnm._FilterDatabase" localSheetId="13" hidden="1">'1404-08-14'!$A$6:$AE$51</definedName>
    <definedName name="_xlnm._FilterDatabase" localSheetId="14" hidden="1">'1404-08-15'!$A$6:$AE$50</definedName>
    <definedName name="_xlnm._FilterDatabase" localSheetId="15" hidden="1">'1404-08-16'!$A$6:$AE$51</definedName>
    <definedName name="_xlnm._FilterDatabase" localSheetId="16" hidden="1">'1404-08-17'!$A$6:$AE$51</definedName>
    <definedName name="_xlnm._FilterDatabase" localSheetId="17" hidden="1">'1404-08-18'!$A$6:$AE$51</definedName>
    <definedName name="_xlnm._FilterDatabase" localSheetId="18" hidden="1">'1404-08-19'!$A$6:$AE$51</definedName>
    <definedName name="_xlnm._FilterDatabase" localSheetId="19" hidden="1">'1404-08-20'!$A$6:$AE$51</definedName>
    <definedName name="_xlnm._FilterDatabase" localSheetId="20" hidden="1">'1404-08-21'!$A$6:$AE$51</definedName>
    <definedName name="_xlnm._FilterDatabase" localSheetId="21" hidden="1">'1404-08-22'!$A$6:$AE$48</definedName>
    <definedName name="_xlnm._FilterDatabase" localSheetId="22" hidden="1">'1404-08-23'!$A$6:$AE$47</definedName>
    <definedName name="_xlnm._FilterDatabase" localSheetId="23" hidden="1">'1404-08-24'!$A$6:$AE$47</definedName>
    <definedName name="_xlnm._FilterDatabase" localSheetId="24" hidden="1">'1404-08-25'!$A$6:$AE$47</definedName>
    <definedName name="_xlnm._FilterDatabase" localSheetId="25" hidden="1">'1404-08-26'!$A$6:$AE$47</definedName>
    <definedName name="_xlnm.Print_Area" localSheetId="26">'1404-08.27'!$A$1:$V$54</definedName>
    <definedName name="_xlnm.Print_Area" localSheetId="27">'1404-08.28'!$A$1:$V$54</definedName>
    <definedName name="_xlnm.Print_Area" localSheetId="28">'1404-08.29'!$A$1:$V$54</definedName>
    <definedName name="_xlnm.Print_Area" localSheetId="29">'1404-08.30'!$A$1:$V$54</definedName>
    <definedName name="_xlnm.Print_Area" localSheetId="0">'1404-08-01'!$A$1:$V$58</definedName>
    <definedName name="_xlnm.Print_Area" localSheetId="1">'1404-08-02'!$A$1:$V$58</definedName>
    <definedName name="_xlnm.Print_Area" localSheetId="2">'1404-08-03'!$A$1:$V$58</definedName>
    <definedName name="_xlnm.Print_Area" localSheetId="3">'1404-08-04'!$A$1:$V$58</definedName>
    <definedName name="_xlnm.Print_Area" localSheetId="4">'1404-08-05'!$A$1:$V$58</definedName>
    <definedName name="_xlnm.Print_Area" localSheetId="5">'1404-08-06'!$A$1:$V$58</definedName>
    <definedName name="_xlnm.Print_Area" localSheetId="6">'1404-08-07'!$A$1:$V$59</definedName>
    <definedName name="_xlnm.Print_Area" localSheetId="7">'1404-08-08'!$A$1:$V$59</definedName>
    <definedName name="_xlnm.Print_Area" localSheetId="8">'1404-08-09'!$A$1:$V$59</definedName>
    <definedName name="_xlnm.Print_Area" localSheetId="9">'1404-08-10'!$A$1:$V$60</definedName>
    <definedName name="_xlnm.Print_Area" localSheetId="10">'1404-08-11'!$A$1:$V$60</definedName>
    <definedName name="_xlnm.Print_Area" localSheetId="11">'1404-08-12'!$A$1:$V$58</definedName>
    <definedName name="_xlnm.Print_Area" localSheetId="12">'1404-08-13'!$A$1:$V$58</definedName>
    <definedName name="_xlnm.Print_Area" localSheetId="13">'1404-08-14'!$A$1:$V$58</definedName>
    <definedName name="_xlnm.Print_Area" localSheetId="14">'1404-08-15'!$A$1:$V$57</definedName>
    <definedName name="_xlnm.Print_Area" localSheetId="15">'1404-08-16'!$A$1:$V$58</definedName>
    <definedName name="_xlnm.Print_Area" localSheetId="16">'1404-08-17'!$A$1:$V$58</definedName>
    <definedName name="_xlnm.Print_Area" localSheetId="17">'1404-08-18'!$A$1:$V$58</definedName>
    <definedName name="_xlnm.Print_Area" localSheetId="18">'1404-08-19'!$A$1:$V$58</definedName>
    <definedName name="_xlnm.Print_Area" localSheetId="19">'1404-08-20'!$A$1:$V$58</definedName>
    <definedName name="_xlnm.Print_Area" localSheetId="20">'1404-08-21'!$A$1:$V$58</definedName>
    <definedName name="_xlnm.Print_Area" localSheetId="21">'1404-08-22'!$A$1:$V$55</definedName>
    <definedName name="_xlnm.Print_Area" localSheetId="22">'1404-08-23'!$A$1:$V$54</definedName>
    <definedName name="_xlnm.Print_Area" localSheetId="23">'1404-08-24'!$A$1:$V$54</definedName>
    <definedName name="_xlnm.Print_Area" localSheetId="24">'1404-08-25'!$A$1:$V$54</definedName>
    <definedName name="_xlnm.Print_Area" localSheetId="25">'1404-08-26'!$A$1:$V$54</definedName>
  </definedNames>
  <calcPr calcId="181029"/>
</workbook>
</file>

<file path=xl/calcChain.xml><?xml version="1.0" encoding="utf-8"?>
<calcChain xmlns="http://schemas.openxmlformats.org/spreadsheetml/2006/main">
  <c r="W25" i="213" l="1"/>
  <c r="W20" i="213"/>
  <c r="Y47" i="213"/>
  <c r="W46" i="213"/>
  <c r="W45" i="213"/>
  <c r="W44" i="213"/>
  <c r="W43" i="213"/>
  <c r="W42" i="213"/>
  <c r="W41" i="213"/>
  <c r="W40" i="213"/>
  <c r="W39" i="213"/>
  <c r="W38" i="213"/>
  <c r="K35" i="213"/>
  <c r="J35" i="213"/>
  <c r="I35" i="213"/>
  <c r="E35" i="213"/>
  <c r="D35" i="213"/>
  <c r="AA26" i="213"/>
  <c r="W18" i="213"/>
  <c r="W16" i="213"/>
  <c r="W15" i="213"/>
  <c r="W11" i="213"/>
  <c r="C11" i="213"/>
  <c r="C35" i="213" s="1"/>
  <c r="H8" i="213"/>
  <c r="H35" i="213" s="1"/>
  <c r="C8" i="213"/>
  <c r="Y3" i="213"/>
  <c r="W20" i="212"/>
  <c r="Y47" i="212"/>
  <c r="W46" i="212"/>
  <c r="W45" i="212"/>
  <c r="W44" i="212"/>
  <c r="W43" i="212"/>
  <c r="W42" i="212"/>
  <c r="W41" i="212"/>
  <c r="W40" i="212"/>
  <c r="W39" i="212"/>
  <c r="W38" i="212"/>
  <c r="K35" i="212"/>
  <c r="J35" i="212"/>
  <c r="I35" i="212"/>
  <c r="E35" i="212"/>
  <c r="D35" i="212"/>
  <c r="AA26" i="212"/>
  <c r="W25" i="212"/>
  <c r="W18" i="212"/>
  <c r="W16" i="212"/>
  <c r="W15" i="212"/>
  <c r="W11" i="212"/>
  <c r="C11" i="212"/>
  <c r="H8" i="212"/>
  <c r="H35" i="212" s="1"/>
  <c r="C8" i="212"/>
  <c r="C35" i="212" s="1"/>
  <c r="Y3" i="212"/>
  <c r="Y47" i="211"/>
  <c r="W46" i="211"/>
  <c r="W45" i="211"/>
  <c r="W44" i="211"/>
  <c r="W43" i="211"/>
  <c r="W42" i="211"/>
  <c r="W41" i="211"/>
  <c r="W40" i="211"/>
  <c r="W39" i="211"/>
  <c r="W38" i="211"/>
  <c r="K35" i="211"/>
  <c r="J35" i="211"/>
  <c r="I35" i="211"/>
  <c r="H35" i="211"/>
  <c r="E35" i="211"/>
  <c r="D35" i="211"/>
  <c r="C35" i="211"/>
  <c r="AA26" i="211"/>
  <c r="W25" i="211"/>
  <c r="W20" i="211"/>
  <c r="W18" i="211"/>
  <c r="W16" i="211"/>
  <c r="W15" i="211"/>
  <c r="W11" i="211"/>
  <c r="C11" i="211"/>
  <c r="H8" i="211"/>
  <c r="C8" i="211"/>
  <c r="Y3" i="211"/>
  <c r="Y47" i="210"/>
  <c r="W46" i="210"/>
  <c r="W45" i="210"/>
  <c r="W44" i="210"/>
  <c r="W43" i="210"/>
  <c r="W42" i="210"/>
  <c r="W41" i="210"/>
  <c r="W40" i="210"/>
  <c r="W39" i="210"/>
  <c r="W38" i="210"/>
  <c r="K35" i="210"/>
  <c r="J35" i="210"/>
  <c r="I35" i="210"/>
  <c r="E35" i="210"/>
  <c r="D35" i="210"/>
  <c r="AA26" i="210"/>
  <c r="W25" i="210"/>
  <c r="W20" i="210"/>
  <c r="W18" i="210"/>
  <c r="W16" i="210"/>
  <c r="W15" i="210"/>
  <c r="W11" i="210"/>
  <c r="C11" i="210"/>
  <c r="H8" i="210"/>
  <c r="H35" i="210" s="1"/>
  <c r="C8" i="210"/>
  <c r="C35" i="210" s="1"/>
  <c r="Y3" i="210"/>
  <c r="Y47" i="209"/>
  <c r="W46" i="209"/>
  <c r="W45" i="209"/>
  <c r="W44" i="209"/>
  <c r="W43" i="209"/>
  <c r="W42" i="209"/>
  <c r="W41" i="209"/>
  <c r="W40" i="209"/>
  <c r="W39" i="209"/>
  <c r="W38" i="209"/>
  <c r="K35" i="209"/>
  <c r="J35" i="209"/>
  <c r="I35" i="209"/>
  <c r="E35" i="209"/>
  <c r="D35" i="209"/>
  <c r="AA26" i="209"/>
  <c r="W25" i="209"/>
  <c r="W20" i="209"/>
  <c r="W18" i="209"/>
  <c r="W16" i="209"/>
  <c r="W15" i="209"/>
  <c r="W11" i="209"/>
  <c r="C11" i="209"/>
  <c r="H8" i="209"/>
  <c r="H35" i="209" s="1"/>
  <c r="C8" i="209"/>
  <c r="C35" i="209" s="1"/>
  <c r="Y3" i="209"/>
  <c r="W40" i="208"/>
  <c r="Y47" i="208"/>
  <c r="W46" i="208"/>
  <c r="W45" i="208"/>
  <c r="W44" i="208"/>
  <c r="W43" i="208"/>
  <c r="W42" i="208"/>
  <c r="W41" i="208"/>
  <c r="W39" i="208"/>
  <c r="W38" i="208"/>
  <c r="K35" i="208"/>
  <c r="J35" i="208"/>
  <c r="I35" i="208"/>
  <c r="E35" i="208"/>
  <c r="D35" i="208"/>
  <c r="AA26" i="208"/>
  <c r="W25" i="208"/>
  <c r="W20" i="208"/>
  <c r="W18" i="208"/>
  <c r="W16" i="208"/>
  <c r="W15" i="208"/>
  <c r="W11" i="208"/>
  <c r="C11" i="208"/>
  <c r="H8" i="208"/>
  <c r="H35" i="208" s="1"/>
  <c r="C8" i="208"/>
  <c r="C35" i="208" s="1"/>
  <c r="Y3" i="208"/>
  <c r="W25" i="207"/>
  <c r="W20" i="207"/>
  <c r="Y47" i="207"/>
  <c r="W46" i="207"/>
  <c r="W45" i="207"/>
  <c r="W44" i="207"/>
  <c r="W43" i="207"/>
  <c r="W42" i="207"/>
  <c r="W41" i="207"/>
  <c r="W40" i="207"/>
  <c r="W39" i="207"/>
  <c r="W38" i="207"/>
  <c r="K35" i="207"/>
  <c r="J35" i="207"/>
  <c r="I35" i="207"/>
  <c r="E35" i="207"/>
  <c r="D35" i="207"/>
  <c r="AA26" i="207"/>
  <c r="W18" i="207"/>
  <c r="W16" i="207"/>
  <c r="W15" i="207"/>
  <c r="W11" i="207"/>
  <c r="C11" i="207"/>
  <c r="C35" i="207" s="1"/>
  <c r="H8" i="207"/>
  <c r="H35" i="207" s="1"/>
  <c r="C8" i="207"/>
  <c r="Y3" i="207"/>
  <c r="I35" i="206"/>
  <c r="H35" i="206"/>
  <c r="E35" i="206"/>
  <c r="D35" i="206"/>
  <c r="C35" i="206"/>
  <c r="Y47" i="206"/>
  <c r="W46" i="206"/>
  <c r="W45" i="206"/>
  <c r="W44" i="206"/>
  <c r="W43" i="206"/>
  <c r="W42" i="206"/>
  <c r="W41" i="206"/>
  <c r="W40" i="206"/>
  <c r="W39" i="206"/>
  <c r="W38" i="206"/>
  <c r="K35" i="206"/>
  <c r="J35" i="206"/>
  <c r="AA26" i="206"/>
  <c r="W25" i="206"/>
  <c r="W20" i="206"/>
  <c r="W18" i="206"/>
  <c r="W16" i="206"/>
  <c r="W15" i="206"/>
  <c r="W11" i="206"/>
  <c r="C11" i="206"/>
  <c r="H8" i="206"/>
  <c r="C8" i="206"/>
  <c r="Y3" i="206"/>
  <c r="E36" i="205"/>
  <c r="D36" i="205"/>
  <c r="C36" i="205"/>
  <c r="Y48" i="205"/>
  <c r="W47" i="205"/>
  <c r="W46" i="205"/>
  <c r="W45" i="205"/>
  <c r="W44" i="205"/>
  <c r="W43" i="205"/>
  <c r="W42" i="205"/>
  <c r="W41" i="205"/>
  <c r="W40" i="205"/>
  <c r="W39" i="205"/>
  <c r="K36" i="205"/>
  <c r="J36" i="205"/>
  <c r="I36" i="205"/>
  <c r="AA26" i="205"/>
  <c r="W25" i="205"/>
  <c r="W20" i="205"/>
  <c r="W18" i="205"/>
  <c r="W16" i="205"/>
  <c r="W15" i="205"/>
  <c r="W11" i="205"/>
  <c r="C11" i="205"/>
  <c r="H8" i="205"/>
  <c r="H36" i="205" s="1"/>
  <c r="C8" i="205"/>
  <c r="Y3" i="205"/>
  <c r="Y51" i="204"/>
  <c r="W50" i="204"/>
  <c r="W49" i="204"/>
  <c r="W48" i="204"/>
  <c r="W47" i="204"/>
  <c r="W46" i="204"/>
  <c r="W45" i="204"/>
  <c r="W44" i="204"/>
  <c r="W43" i="204"/>
  <c r="W42" i="204"/>
  <c r="K39" i="204"/>
  <c r="J39" i="204"/>
  <c r="I39" i="204"/>
  <c r="E39" i="204"/>
  <c r="D39" i="204"/>
  <c r="AA26" i="204"/>
  <c r="W25" i="204"/>
  <c r="W20" i="204"/>
  <c r="W18" i="204"/>
  <c r="W16" i="204"/>
  <c r="W15" i="204"/>
  <c r="W11" i="204"/>
  <c r="C11" i="204"/>
  <c r="C39" i="204" s="1"/>
  <c r="H8" i="204"/>
  <c r="H39" i="204" s="1"/>
  <c r="C8" i="204"/>
  <c r="Y3" i="204"/>
  <c r="Y51" i="203"/>
  <c r="W50" i="203"/>
  <c r="W49" i="203"/>
  <c r="W48" i="203"/>
  <c r="W47" i="203"/>
  <c r="W46" i="203"/>
  <c r="W45" i="203"/>
  <c r="W44" i="203"/>
  <c r="W43" i="203"/>
  <c r="W42" i="203"/>
  <c r="K39" i="203"/>
  <c r="J39" i="203"/>
  <c r="I39" i="203"/>
  <c r="E39" i="203"/>
  <c r="D39" i="203"/>
  <c r="AA26" i="203"/>
  <c r="W25" i="203"/>
  <c r="W20" i="203"/>
  <c r="W18" i="203"/>
  <c r="W16" i="203"/>
  <c r="W15" i="203"/>
  <c r="W11" i="203"/>
  <c r="C11" i="203"/>
  <c r="H8" i="203"/>
  <c r="H39" i="203" s="1"/>
  <c r="C8" i="203"/>
  <c r="C39" i="203" s="1"/>
  <c r="Y3" i="203"/>
  <c r="Y51" i="202"/>
  <c r="W50" i="202"/>
  <c r="W49" i="202"/>
  <c r="W48" i="202"/>
  <c r="W47" i="202"/>
  <c r="W46" i="202"/>
  <c r="W45" i="202"/>
  <c r="W44" i="202"/>
  <c r="W43" i="202"/>
  <c r="E43" i="202"/>
  <c r="W42" i="202"/>
  <c r="K39" i="202"/>
  <c r="J39" i="202"/>
  <c r="I39" i="202"/>
  <c r="E39" i="202"/>
  <c r="D39" i="202"/>
  <c r="AA26" i="202"/>
  <c r="W25" i="202"/>
  <c r="W20" i="202"/>
  <c r="W18" i="202"/>
  <c r="W16" i="202"/>
  <c r="W15" i="202"/>
  <c r="W11" i="202"/>
  <c r="C11" i="202"/>
  <c r="H8" i="202"/>
  <c r="H39" i="202" s="1"/>
  <c r="C8" i="202"/>
  <c r="C39" i="202" s="1"/>
  <c r="Y3" i="202"/>
  <c r="Y51" i="201"/>
  <c r="W50" i="201"/>
  <c r="W49" i="201"/>
  <c r="W48" i="201"/>
  <c r="W47" i="201"/>
  <c r="W46" i="201"/>
  <c r="W45" i="201"/>
  <c r="W44" i="201"/>
  <c r="W43" i="201"/>
  <c r="E43" i="201"/>
  <c r="W42" i="201"/>
  <c r="K39" i="201"/>
  <c r="J39" i="201"/>
  <c r="I39" i="201"/>
  <c r="H39" i="201"/>
  <c r="E39" i="201"/>
  <c r="D39" i="201"/>
  <c r="AA26" i="201"/>
  <c r="W25" i="201"/>
  <c r="W20" i="201"/>
  <c r="W18" i="201"/>
  <c r="W16" i="201"/>
  <c r="W15" i="201"/>
  <c r="W11" i="201"/>
  <c r="C11" i="201"/>
  <c r="H8" i="201"/>
  <c r="C8" i="201"/>
  <c r="C39" i="201" s="1"/>
  <c r="Y3" i="201"/>
  <c r="E39" i="200"/>
  <c r="D39" i="200"/>
  <c r="C39" i="200"/>
  <c r="J39" i="200"/>
  <c r="I39" i="200"/>
  <c r="H39" i="200"/>
  <c r="W25" i="200"/>
  <c r="Y51" i="200"/>
  <c r="W50" i="200"/>
  <c r="W49" i="200"/>
  <c r="W48" i="200"/>
  <c r="W47" i="200"/>
  <c r="W46" i="200"/>
  <c r="W45" i="200"/>
  <c r="W44" i="200"/>
  <c r="W43" i="200"/>
  <c r="E43" i="200"/>
  <c r="W42" i="200"/>
  <c r="K39" i="200"/>
  <c r="AA26" i="200"/>
  <c r="W20" i="200"/>
  <c r="W18" i="200"/>
  <c r="W16" i="200"/>
  <c r="W15" i="200"/>
  <c r="W11" i="200"/>
  <c r="C11" i="200"/>
  <c r="H8" i="200"/>
  <c r="C8" i="200"/>
  <c r="Y3" i="200"/>
  <c r="J39" i="199"/>
  <c r="I39" i="199"/>
  <c r="H39" i="199"/>
  <c r="Y51" i="199"/>
  <c r="W50" i="199"/>
  <c r="W49" i="199"/>
  <c r="W48" i="199"/>
  <c r="W47" i="199"/>
  <c r="W46" i="199"/>
  <c r="W45" i="199"/>
  <c r="W44" i="199"/>
  <c r="W43" i="199"/>
  <c r="E43" i="199"/>
  <c r="W42" i="199"/>
  <c r="K39" i="199"/>
  <c r="E39" i="199"/>
  <c r="D39" i="199"/>
  <c r="AA26" i="199"/>
  <c r="W25" i="199"/>
  <c r="W20" i="199"/>
  <c r="W18" i="199"/>
  <c r="W16" i="199"/>
  <c r="W15" i="199"/>
  <c r="W11" i="199"/>
  <c r="C11" i="199"/>
  <c r="H8" i="199"/>
  <c r="C8" i="199"/>
  <c r="C39" i="199" s="1"/>
  <c r="Y3" i="199"/>
  <c r="H70" i="198"/>
  <c r="Y50" i="198"/>
  <c r="W49" i="198"/>
  <c r="W48" i="198"/>
  <c r="W47" i="198"/>
  <c r="W46" i="198"/>
  <c r="W45" i="198"/>
  <c r="W44" i="198"/>
  <c r="W43" i="198"/>
  <c r="W42" i="198"/>
  <c r="E42" i="198"/>
  <c r="W41" i="198"/>
  <c r="K38" i="198"/>
  <c r="J38" i="198"/>
  <c r="I38" i="198"/>
  <c r="E38" i="198"/>
  <c r="D38" i="198"/>
  <c r="AA25" i="198"/>
  <c r="W24" i="198"/>
  <c r="W20" i="198"/>
  <c r="W18" i="198"/>
  <c r="W16" i="198"/>
  <c r="W15" i="198"/>
  <c r="W11" i="198"/>
  <c r="C11" i="198"/>
  <c r="H8" i="198"/>
  <c r="H38" i="198" s="1"/>
  <c r="C8" i="198"/>
  <c r="Y3" i="198"/>
  <c r="H71" i="197"/>
  <c r="Y51" i="197"/>
  <c r="W50" i="197"/>
  <c r="W49" i="197"/>
  <c r="W48" i="197"/>
  <c r="W47" i="197"/>
  <c r="W46" i="197"/>
  <c r="W45" i="197"/>
  <c r="W44" i="197"/>
  <c r="W43" i="197"/>
  <c r="E43" i="197"/>
  <c r="W42" i="197"/>
  <c r="K39" i="197"/>
  <c r="J39" i="197"/>
  <c r="I39" i="197"/>
  <c r="E39" i="197"/>
  <c r="D39" i="197"/>
  <c r="AA25" i="197"/>
  <c r="W24" i="197"/>
  <c r="W20" i="197"/>
  <c r="W18" i="197"/>
  <c r="W16" i="197"/>
  <c r="W15" i="197"/>
  <c r="W11" i="197"/>
  <c r="C11" i="197"/>
  <c r="H8" i="197"/>
  <c r="H39" i="197" s="1"/>
  <c r="C8" i="197"/>
  <c r="C39" i="197" s="1"/>
  <c r="Y3" i="197"/>
  <c r="H71" i="196"/>
  <c r="Y51" i="196"/>
  <c r="W50" i="196"/>
  <c r="W49" i="196"/>
  <c r="W48" i="196"/>
  <c r="W47" i="196"/>
  <c r="W46" i="196"/>
  <c r="W45" i="196"/>
  <c r="W44" i="196"/>
  <c r="W43" i="196"/>
  <c r="E43" i="196"/>
  <c r="W42" i="196"/>
  <c r="K39" i="196"/>
  <c r="J39" i="196"/>
  <c r="I39" i="196"/>
  <c r="E39" i="196"/>
  <c r="D39" i="196"/>
  <c r="AA25" i="196"/>
  <c r="W24" i="196"/>
  <c r="W20" i="196"/>
  <c r="W18" i="196"/>
  <c r="W16" i="196"/>
  <c r="W15" i="196"/>
  <c r="W11" i="196"/>
  <c r="C11" i="196"/>
  <c r="H8" i="196"/>
  <c r="H39" i="196" s="1"/>
  <c r="C8" i="196"/>
  <c r="C39" i="196" s="1"/>
  <c r="Y3" i="196"/>
  <c r="H71" i="195"/>
  <c r="Y51" i="195"/>
  <c r="W50" i="195"/>
  <c r="W49" i="195"/>
  <c r="W48" i="195"/>
  <c r="W47" i="195"/>
  <c r="W46" i="195"/>
  <c r="W45" i="195"/>
  <c r="W44" i="195"/>
  <c r="W43" i="195"/>
  <c r="E43" i="195"/>
  <c r="W42" i="195"/>
  <c r="K39" i="195"/>
  <c r="J39" i="195"/>
  <c r="I39" i="195"/>
  <c r="H39" i="195"/>
  <c r="E39" i="195"/>
  <c r="D39" i="195"/>
  <c r="AA25" i="195"/>
  <c r="W24" i="195"/>
  <c r="W20" i="195"/>
  <c r="W18" i="195"/>
  <c r="W16" i="195"/>
  <c r="W15" i="195"/>
  <c r="W11" i="195"/>
  <c r="C11" i="195"/>
  <c r="H8" i="195"/>
  <c r="C8" i="195"/>
  <c r="C39" i="195" s="1"/>
  <c r="Y3" i="195"/>
  <c r="W24" i="194"/>
  <c r="W20" i="194"/>
  <c r="H73" i="194"/>
  <c r="Y53" i="194"/>
  <c r="W51" i="194"/>
  <c r="W50" i="194"/>
  <c r="W49" i="194"/>
  <c r="W48" i="194"/>
  <c r="W47" i="194"/>
  <c r="W46" i="194"/>
  <c r="W45" i="194"/>
  <c r="W44" i="194"/>
  <c r="E44" i="194"/>
  <c r="W43" i="194"/>
  <c r="K40" i="194"/>
  <c r="J40" i="194"/>
  <c r="I40" i="194"/>
  <c r="E40" i="194"/>
  <c r="D40" i="194"/>
  <c r="AA25" i="194"/>
  <c r="W18" i="194"/>
  <c r="W16" i="194"/>
  <c r="W15" i="194"/>
  <c r="W11" i="194"/>
  <c r="C11" i="194"/>
  <c r="H8" i="194"/>
  <c r="H40" i="194" s="1"/>
  <c r="C8" i="194"/>
  <c r="C40" i="194" s="1"/>
  <c r="Y3" i="194"/>
  <c r="W16" i="193"/>
  <c r="H73" i="193"/>
  <c r="Y53" i="193"/>
  <c r="W51" i="193"/>
  <c r="W50" i="193"/>
  <c r="W49" i="193"/>
  <c r="W48" i="193"/>
  <c r="W47" i="193"/>
  <c r="W46" i="193"/>
  <c r="W45" i="193"/>
  <c r="W44" i="193"/>
  <c r="E44" i="193"/>
  <c r="W43" i="193"/>
  <c r="K40" i="193"/>
  <c r="J40" i="193"/>
  <c r="I40" i="193"/>
  <c r="H40" i="193"/>
  <c r="E40" i="193"/>
  <c r="D40" i="193"/>
  <c r="W26" i="193"/>
  <c r="AA25" i="193"/>
  <c r="W21" i="193"/>
  <c r="W18" i="193"/>
  <c r="W15" i="193"/>
  <c r="W11" i="193"/>
  <c r="C11" i="193"/>
  <c r="H8" i="193"/>
  <c r="C8" i="193"/>
  <c r="C40" i="193" s="1"/>
  <c r="Y3" i="193"/>
  <c r="E47" i="192"/>
  <c r="T17" i="192"/>
  <c r="T11" i="192"/>
  <c r="W11" i="192" s="1"/>
  <c r="H72" i="192"/>
  <c r="Y52" i="192"/>
  <c r="W50" i="192"/>
  <c r="W49" i="192"/>
  <c r="W48" i="192"/>
  <c r="W47" i="192"/>
  <c r="W46" i="192"/>
  <c r="E46" i="192"/>
  <c r="W45" i="192"/>
  <c r="W44" i="192"/>
  <c r="W43" i="192"/>
  <c r="E43" i="192"/>
  <c r="W42" i="192"/>
  <c r="K39" i="192"/>
  <c r="J39" i="192"/>
  <c r="I39" i="192"/>
  <c r="E39" i="192"/>
  <c r="D39" i="192"/>
  <c r="W25" i="192"/>
  <c r="AA24" i="192"/>
  <c r="W20" i="192"/>
  <c r="W17" i="192"/>
  <c r="W16" i="192"/>
  <c r="W15" i="192"/>
  <c r="C11" i="192"/>
  <c r="H8" i="192"/>
  <c r="H39" i="192" s="1"/>
  <c r="C8" i="192"/>
  <c r="C39" i="192" s="1"/>
  <c r="Y3" i="192"/>
  <c r="E43" i="191"/>
  <c r="C38" i="198" l="1"/>
  <c r="E47" i="191"/>
  <c r="T11" i="191" l="1"/>
  <c r="W11" i="191" s="1"/>
  <c r="T17" i="191"/>
  <c r="W17" i="191" s="1"/>
  <c r="H72" i="191"/>
  <c r="Y52" i="191"/>
  <c r="W50" i="191"/>
  <c r="W49" i="191"/>
  <c r="W48" i="191"/>
  <c r="W47" i="191"/>
  <c r="W46" i="191"/>
  <c r="E46" i="191"/>
  <c r="W45" i="191"/>
  <c r="W44" i="191"/>
  <c r="W43" i="191"/>
  <c r="W42" i="191"/>
  <c r="K39" i="191"/>
  <c r="J39" i="191"/>
  <c r="I39" i="191"/>
  <c r="H39" i="191"/>
  <c r="E39" i="191"/>
  <c r="D39" i="191"/>
  <c r="W25" i="191"/>
  <c r="AA24" i="191"/>
  <c r="W20" i="191"/>
  <c r="W16" i="191"/>
  <c r="W15" i="191"/>
  <c r="C11" i="191"/>
  <c r="H8" i="191"/>
  <c r="C8" i="191"/>
  <c r="C39" i="191" s="1"/>
  <c r="Y3" i="191"/>
  <c r="E46" i="190"/>
  <c r="W47" i="190"/>
  <c r="E47" i="190"/>
  <c r="T17" i="190"/>
  <c r="W17" i="190" s="1"/>
  <c r="H72" i="190"/>
  <c r="Y52" i="190"/>
  <c r="W50" i="190"/>
  <c r="W49" i="190"/>
  <c r="W48" i="190"/>
  <c r="W46" i="190"/>
  <c r="W45" i="190"/>
  <c r="W44" i="190"/>
  <c r="W43" i="190"/>
  <c r="W42" i="190"/>
  <c r="K39" i="190"/>
  <c r="J39" i="190"/>
  <c r="I39" i="190"/>
  <c r="E39" i="190"/>
  <c r="D39" i="190"/>
  <c r="W25" i="190"/>
  <c r="AA24" i="190"/>
  <c r="W20" i="190"/>
  <c r="W16" i="190"/>
  <c r="W15" i="190"/>
  <c r="W11" i="190"/>
  <c r="C11" i="190"/>
  <c r="H8" i="190"/>
  <c r="H39" i="190" s="1"/>
  <c r="C8" i="190"/>
  <c r="C39" i="190" s="1"/>
  <c r="Y3" i="190"/>
  <c r="H71" i="189"/>
  <c r="Y51" i="189"/>
  <c r="W50" i="189"/>
  <c r="W49" i="189"/>
  <c r="W48" i="189"/>
  <c r="W47" i="189"/>
  <c r="W46" i="189"/>
  <c r="W45" i="189"/>
  <c r="W44" i="189"/>
  <c r="W43" i="189"/>
  <c r="W42" i="189"/>
  <c r="K39" i="189"/>
  <c r="J39" i="189"/>
  <c r="I39" i="189"/>
  <c r="E39" i="189"/>
  <c r="D39" i="189"/>
  <c r="W25" i="189"/>
  <c r="AA24" i="189"/>
  <c r="W20" i="189"/>
  <c r="W17" i="189"/>
  <c r="W16" i="189"/>
  <c r="W15" i="189"/>
  <c r="W11" i="189"/>
  <c r="C11" i="189"/>
  <c r="H8" i="189"/>
  <c r="H39" i="189" s="1"/>
  <c r="C8" i="189"/>
  <c r="C39" i="189" s="1"/>
  <c r="Y3" i="189"/>
  <c r="W11" i="188"/>
  <c r="H71" i="188"/>
  <c r="Y51" i="188"/>
  <c r="W50" i="188"/>
  <c r="W49" i="188"/>
  <c r="W48" i="188"/>
  <c r="W47" i="188"/>
  <c r="W46" i="188"/>
  <c r="W45" i="188"/>
  <c r="W44" i="188"/>
  <c r="W43" i="188"/>
  <c r="W42" i="188"/>
  <c r="K39" i="188"/>
  <c r="J39" i="188"/>
  <c r="I39" i="188"/>
  <c r="E39" i="188"/>
  <c r="D39" i="188"/>
  <c r="W25" i="188"/>
  <c r="AA24" i="188"/>
  <c r="W20" i="188"/>
  <c r="W17" i="188"/>
  <c r="W16" i="188"/>
  <c r="W15" i="188"/>
  <c r="C11" i="188"/>
  <c r="H8" i="188"/>
  <c r="H39" i="188" s="1"/>
  <c r="C8" i="188"/>
  <c r="C39" i="188" s="1"/>
  <c r="Y3" i="188"/>
  <c r="H71" i="187"/>
  <c r="Y51" i="187"/>
  <c r="W50" i="187"/>
  <c r="W49" i="187"/>
  <c r="W48" i="187"/>
  <c r="W47" i="187"/>
  <c r="W46" i="187"/>
  <c r="W45" i="187"/>
  <c r="W44" i="187"/>
  <c r="W43" i="187"/>
  <c r="W42" i="187"/>
  <c r="K39" i="187"/>
  <c r="J39" i="187"/>
  <c r="I39" i="187"/>
  <c r="E39" i="187"/>
  <c r="D39" i="187"/>
  <c r="W25" i="187"/>
  <c r="AA24" i="187"/>
  <c r="W20" i="187"/>
  <c r="W17" i="187"/>
  <c r="W16" i="187"/>
  <c r="W15" i="187"/>
  <c r="W11" i="187"/>
  <c r="C11" i="187"/>
  <c r="H8" i="187"/>
  <c r="H39" i="187" s="1"/>
  <c r="C8" i="187"/>
  <c r="C39" i="187" s="1"/>
  <c r="Y3" i="187"/>
  <c r="W25" i="186"/>
  <c r="H71" i="186"/>
  <c r="Y51" i="186"/>
  <c r="W50" i="186"/>
  <c r="W49" i="186"/>
  <c r="W48" i="186"/>
  <c r="W47" i="186"/>
  <c r="W46" i="186"/>
  <c r="W45" i="186"/>
  <c r="W44" i="186"/>
  <c r="W43" i="186"/>
  <c r="W42" i="186"/>
  <c r="K39" i="186"/>
  <c r="J39" i="186"/>
  <c r="I39" i="186"/>
  <c r="E39" i="186"/>
  <c r="D39" i="186"/>
  <c r="AA24" i="186"/>
  <c r="W20" i="186"/>
  <c r="W17" i="186"/>
  <c r="W16" i="186"/>
  <c r="W15" i="186"/>
  <c r="W11" i="186"/>
  <c r="C11" i="186"/>
  <c r="H8" i="186"/>
  <c r="H39" i="186" s="1"/>
  <c r="C8" i="186"/>
  <c r="C39" i="186" s="1"/>
  <c r="Y3" i="186"/>
  <c r="H71" i="185"/>
  <c r="Y51" i="185"/>
  <c r="W50" i="185"/>
  <c r="W49" i="185"/>
  <c r="W48" i="185"/>
  <c r="W47" i="185"/>
  <c r="W46" i="185"/>
  <c r="W45" i="185"/>
  <c r="W44" i="185"/>
  <c r="W43" i="185"/>
  <c r="W42" i="185"/>
  <c r="K39" i="185"/>
  <c r="J39" i="185"/>
  <c r="I39" i="185"/>
  <c r="E39" i="185"/>
  <c r="D39" i="185"/>
  <c r="W25" i="185"/>
  <c r="AA24" i="185"/>
  <c r="W20" i="185"/>
  <c r="W17" i="185"/>
  <c r="W16" i="185"/>
  <c r="W15" i="185"/>
  <c r="W11" i="185"/>
  <c r="C11" i="185"/>
  <c r="H8" i="185"/>
  <c r="H39" i="185" s="1"/>
  <c r="C8" i="185"/>
  <c r="C39" i="185" s="1"/>
  <c r="Y3" i="185"/>
  <c r="H44" i="184"/>
  <c r="W11" i="184"/>
  <c r="H71" i="184"/>
  <c r="Y51" i="184"/>
  <c r="W50" i="184"/>
  <c r="W49" i="184"/>
  <c r="W48" i="184"/>
  <c r="W47" i="184"/>
  <c r="W46" i="184"/>
  <c r="W45" i="184"/>
  <c r="W44" i="184"/>
  <c r="W43" i="184"/>
  <c r="W42" i="184"/>
  <c r="K39" i="184"/>
  <c r="J39" i="184"/>
  <c r="I39" i="184"/>
  <c r="E39" i="184"/>
  <c r="D39" i="184"/>
  <c r="W25" i="184"/>
  <c r="AA24" i="184"/>
  <c r="W20" i="184"/>
  <c r="W17" i="184"/>
  <c r="W16" i="184"/>
  <c r="W15" i="184"/>
  <c r="C11" i="184"/>
  <c r="H8" i="184"/>
  <c r="H39" i="184" s="1"/>
  <c r="C8" i="184"/>
  <c r="Y3" i="184"/>
  <c r="C39" i="184" l="1"/>
</calcChain>
</file>

<file path=xl/sharedStrings.xml><?xml version="1.0" encoding="utf-8"?>
<sst xmlns="http://schemas.openxmlformats.org/spreadsheetml/2006/main" count="4540" uniqueCount="330">
  <si>
    <t>حاضر</t>
  </si>
  <si>
    <t>مرخصی</t>
  </si>
  <si>
    <t>ردیف</t>
  </si>
  <si>
    <t>فعال</t>
  </si>
  <si>
    <t>تحت تعمیر</t>
  </si>
  <si>
    <t xml:space="preserve"> نوع مصالح</t>
  </si>
  <si>
    <t>کمک نقشه بردار</t>
  </si>
  <si>
    <t>سواری</t>
  </si>
  <si>
    <t>راننده سنگین</t>
  </si>
  <si>
    <t>جمع کل</t>
  </si>
  <si>
    <t>آماده به کار</t>
  </si>
  <si>
    <t xml:space="preserve">نیروی انسانی </t>
  </si>
  <si>
    <t>سرپرست کارگاه</t>
  </si>
  <si>
    <t>کمپرسی جفت</t>
  </si>
  <si>
    <t>وانت</t>
  </si>
  <si>
    <t>موتور جوش</t>
  </si>
  <si>
    <t>نقشه بردار</t>
  </si>
  <si>
    <t>راننده سبک</t>
  </si>
  <si>
    <t>نظارت مقیم</t>
  </si>
  <si>
    <t xml:space="preserve">تراکتور </t>
  </si>
  <si>
    <t>شرایط جوی</t>
  </si>
  <si>
    <t>اداری- مالی</t>
  </si>
  <si>
    <t xml:space="preserve">گزارش روزانه کارگاه </t>
  </si>
  <si>
    <t>ساعت کارگاه</t>
  </si>
  <si>
    <t>وارده امروز</t>
  </si>
  <si>
    <t>رویدادها، موارد قابل توجه، مشکلات اجرایی و پیشنهادات</t>
  </si>
  <si>
    <t>واحد</t>
  </si>
  <si>
    <t>مقدار انجام شده امروز</t>
  </si>
  <si>
    <t>شرح فعالیت</t>
  </si>
  <si>
    <t>تعداد كل</t>
  </si>
  <si>
    <t>نوع ماشین آلات
و تجهيزات</t>
  </si>
  <si>
    <t>موضوع</t>
  </si>
  <si>
    <t>تاریخ</t>
  </si>
  <si>
    <t>نامه ها</t>
  </si>
  <si>
    <t xml:space="preserve">آفتابی </t>
  </si>
  <si>
    <t>باران،برف</t>
  </si>
  <si>
    <t>خدمات</t>
  </si>
  <si>
    <t>سرپرست ماشین آلات</t>
  </si>
  <si>
    <t>مدیر پروژه</t>
  </si>
  <si>
    <t>کارشناس دفتر فنی</t>
  </si>
  <si>
    <t>کمپرسور باد</t>
  </si>
  <si>
    <t>مصرف شده کل</t>
  </si>
  <si>
    <t xml:space="preserve">مصرف شده روز </t>
  </si>
  <si>
    <t>مکانیک</t>
  </si>
  <si>
    <t>نگهبان</t>
  </si>
  <si>
    <t>سرویس کار</t>
  </si>
  <si>
    <t>کارگر آزمایشگاه</t>
  </si>
  <si>
    <t>ابری /نیمه ابری</t>
  </si>
  <si>
    <t>سرپرست ایمنی</t>
  </si>
  <si>
    <t>مشاور : مهندسین مشاور فرا گیتی اندیشان</t>
  </si>
  <si>
    <t xml:space="preserve">پیمانکار: شرکت سپند ساز کهن
</t>
  </si>
  <si>
    <t>کارفرما : شرکت معدنی و صنعتی چادرملو</t>
  </si>
  <si>
    <t>پروژه: احداث باند دوم جاده از مجتمع معدنی چادرملو به گندله سازی بهاباد</t>
  </si>
  <si>
    <t>کانکس</t>
  </si>
  <si>
    <t>کانتینر</t>
  </si>
  <si>
    <t>مخزن</t>
  </si>
  <si>
    <t>بلوک سیمانی/ no</t>
  </si>
  <si>
    <t>مترمربع</t>
  </si>
  <si>
    <t>انباردار</t>
  </si>
  <si>
    <t>ژنراتور KVA 40</t>
  </si>
  <si>
    <t>تاسیسات</t>
  </si>
  <si>
    <t>سرپرست دفتر فنی</t>
  </si>
  <si>
    <t>کارگر ساده</t>
  </si>
  <si>
    <t>راننده ویژه</t>
  </si>
  <si>
    <t>مسئول ابنیه فنی</t>
  </si>
  <si>
    <t>استاد کار بنایی</t>
  </si>
  <si>
    <t>مباشر عملیات خاکی</t>
  </si>
  <si>
    <t>اظهار نظر ناظر مقیم:</t>
  </si>
  <si>
    <t>وارده تاکنون</t>
  </si>
  <si>
    <t>غلطک HC100B</t>
  </si>
  <si>
    <t>غلطک HC100C</t>
  </si>
  <si>
    <t>گریدرکوماتسو661A</t>
  </si>
  <si>
    <t>بولدوزر کاترپیلار D6</t>
  </si>
  <si>
    <t>بتونیر دیزلی</t>
  </si>
  <si>
    <t>لودر 5 تن تیراژه</t>
  </si>
  <si>
    <t>فرستنده</t>
  </si>
  <si>
    <t>شماره نامه</t>
  </si>
  <si>
    <t>گیرنده</t>
  </si>
  <si>
    <t xml:space="preserve">تانکر آبپاش </t>
  </si>
  <si>
    <t>پروفیل سقف(کیلو گرم)</t>
  </si>
  <si>
    <t>گازوئیل/ liter</t>
  </si>
  <si>
    <t>مصالح و متریال وارده به کارگاه</t>
  </si>
  <si>
    <t>مقدار انجام شده تا کنون</t>
  </si>
  <si>
    <t>صبح : 07:00</t>
  </si>
  <si>
    <t>عصر: 17:00</t>
  </si>
  <si>
    <t>مترمکعب</t>
  </si>
  <si>
    <t>عدم همکاری و تسریع روند تخصیص سهمیه آب توسط اداره آب منطقه ای</t>
  </si>
  <si>
    <t>تطویل روند صدور مجوز برداشت از معدن در اداره کل صمت</t>
  </si>
  <si>
    <t>پیمانکار</t>
  </si>
  <si>
    <t>شرح عملیات اجرایی کارگاه روز جاری</t>
  </si>
  <si>
    <t>بازدیدها</t>
  </si>
  <si>
    <t>بیل مکانیکی360</t>
  </si>
  <si>
    <t>ژنراتور KVA 150</t>
  </si>
  <si>
    <t>تکنسین آزمایشگاه</t>
  </si>
  <si>
    <t>کارشناس نت ماشین آلات</t>
  </si>
  <si>
    <t>نصاب ساندویچ پنل</t>
  </si>
  <si>
    <t>تاخیر در جابجایی تیر برق مسیر توسط راه آهن استان یزد</t>
  </si>
  <si>
    <t xml:space="preserve">سیلوی 100 تنی </t>
  </si>
  <si>
    <t>میلگرد سایز 16(کیلوگرم)</t>
  </si>
  <si>
    <t>میلگرد سایز 12(کیلوگرم)</t>
  </si>
  <si>
    <t>معاونت اجراء</t>
  </si>
  <si>
    <t xml:space="preserve">مسئول حراست </t>
  </si>
  <si>
    <t>غلطک کششی</t>
  </si>
  <si>
    <t xml:space="preserve">مسئول امور داخلی </t>
  </si>
  <si>
    <t>فعالیت های اجرایی تجهیز کارگاه</t>
  </si>
  <si>
    <t>کارپرداز</t>
  </si>
  <si>
    <t>بوته کنی. و برداشت خاک نباتی بستر از کیلومتر</t>
  </si>
  <si>
    <t>بحران کمبود آب و صعوبت تامین آب و کاهش راندمان عملیات خاکریزی</t>
  </si>
  <si>
    <t>گریدر کوماتسو GdA-705</t>
  </si>
  <si>
    <t>گریدر کاترپیلار 140G</t>
  </si>
  <si>
    <t>بیل مکانیکی220</t>
  </si>
  <si>
    <t>-</t>
  </si>
  <si>
    <t xml:space="preserve"> شخم زنی و تسطیح رگلاژ آبپاشی و تراکم لایه بستر زمین طبیعی از کیلومتر از کیلومتر 050+6 الی 400+6 (عرض متوسط21)</t>
  </si>
  <si>
    <t>مسئول کنترل پروژه</t>
  </si>
  <si>
    <t>آب  تجهیز/ متر مکعب</t>
  </si>
  <si>
    <t>آب عملیات خاکی / متر مکعب</t>
  </si>
  <si>
    <t xml:space="preserve">خاکبرداری از معدن قرضه  کیلومتر </t>
  </si>
  <si>
    <t>کارشناس ایمنی</t>
  </si>
  <si>
    <t>اکیپ تاسیسات برق</t>
  </si>
  <si>
    <t>اجرای کابل کشی و تاسیسات برقی ساختمان های تجهیز کارگاه</t>
  </si>
  <si>
    <t>اجرای تاسیسات آب و فاضلاب ساختمان های تجهیز کارگاه</t>
  </si>
  <si>
    <t xml:space="preserve">پخش.آب پاشی . تسطیح. و کوبیدن لایه یک با تراکم ٪90 </t>
  </si>
  <si>
    <t xml:space="preserve">روز:پنجشنبه  </t>
  </si>
  <si>
    <t>تاریخ:1404/08/01</t>
  </si>
  <si>
    <t>'185:شماره گزارش</t>
  </si>
  <si>
    <t>دما :15/ 28</t>
  </si>
  <si>
    <t>خاکبرداری از مسیرکیلومتر</t>
  </si>
  <si>
    <t xml:space="preserve">بارریزی مصالح خاکریز از کیلومتر </t>
  </si>
  <si>
    <t>اجرای محوطه سازی تجهیز کارگاه</t>
  </si>
  <si>
    <t>مشاور</t>
  </si>
  <si>
    <t>1404/08/01</t>
  </si>
  <si>
    <t>3889/س/1404</t>
  </si>
  <si>
    <t>3888/س/1404</t>
  </si>
  <si>
    <t>تعدیل موقت شماره 2 کارکرد صورت وضعیت شماره 1 الی 4</t>
  </si>
  <si>
    <t xml:space="preserve">گزارش ماهانه مهر ماه </t>
  </si>
  <si>
    <r>
      <t>سیمان/</t>
    </r>
    <r>
      <rPr>
        <sz val="24"/>
        <color theme="1"/>
        <rFont val="Times New Roman"/>
        <family val="1"/>
      </rPr>
      <t>Ton</t>
    </r>
  </si>
  <si>
    <r>
      <t xml:space="preserve">شن وماسه و بادامی/ </t>
    </r>
    <r>
      <rPr>
        <sz val="24"/>
        <color theme="1"/>
        <rFont val="Times New Roman"/>
        <family val="1"/>
      </rPr>
      <t>Ton</t>
    </r>
  </si>
  <si>
    <t>شخم زنی و تسطیح رگلاژ آبپاشی و تراکم 95 درصد لایه بستر زمین طبیعی از کیلومتر 000+10 الی 080+10 (عرض متوسط 23 متر)</t>
  </si>
  <si>
    <t>پخش.آب پاشی . تسطیح. و کوبیدن لایه یک خاکریزی با تراکم ٪95 از کیلومتر 780+10 الی 10+930 (عرض متوسط22) لایه دو خاکریزی با تراکم ٪95 کیلومتر 350+10 الی 520+10 (عرض متوسط21)</t>
  </si>
  <si>
    <t>تاریخ:1404/08/02</t>
  </si>
  <si>
    <t xml:space="preserve">روز:جمعه  </t>
  </si>
  <si>
    <t>'186:شماره گزارش</t>
  </si>
  <si>
    <t>دما :14/ 28</t>
  </si>
  <si>
    <t>شخم زنی و تسطیح رگلاژ آبپاشی و تراکم 95 درصد لایه بستر زمین طبیعی از کیلومتر</t>
  </si>
  <si>
    <t xml:space="preserve">پخش.آب پاشی . تسطیح. و کوبیدن لایه یک خاکریزی با تراکم ٪95 از کیلومتر </t>
  </si>
  <si>
    <t xml:space="preserve">روز:شنبه  </t>
  </si>
  <si>
    <t>تاریخ:1404/08/03</t>
  </si>
  <si>
    <t>'187:شماره گزارش</t>
  </si>
  <si>
    <t>دما :13/ 28</t>
  </si>
  <si>
    <t>شخم زنی و تسطیح رگلاژ آبپاشی و تراکم   بستر زمین طبیعی از کیلومتر600+11 الی 740+11 و کیلومتر 800+11 الی 180+12 و کیلومتر 12+250 الی 420+12 با عرض متوسط 23 متر</t>
  </si>
  <si>
    <t>پخش.آب پاشی . تسطیح. و کوبیدن لایه یک خاکریزی با تراکم ٪95 از کیلومتر  5+580 الی 700+5 با عرض متوسط 21 متر</t>
  </si>
  <si>
    <t xml:space="preserve">روز:یکشنبه  </t>
  </si>
  <si>
    <t>تاریخ:1404/08/04</t>
  </si>
  <si>
    <t>'188:شماره گزارش</t>
  </si>
  <si>
    <t>دما :13/ 27</t>
  </si>
  <si>
    <t>عملیات بنایی و دیوار چینی ساختمان نظارت</t>
  </si>
  <si>
    <t>تاریخ:1404/08/05</t>
  </si>
  <si>
    <t xml:space="preserve">روز:دوشنبه  </t>
  </si>
  <si>
    <t>'189:شماره گزارش</t>
  </si>
  <si>
    <t xml:space="preserve">پخش.آب پاشی . تسطیح. و کوبیدن خاکریزی با تراکم ٪90 </t>
  </si>
  <si>
    <t>شخم زنی و تسطیح رگلاژ آبپاشی و تراکم   بستر زمین طبیعی از کیلومتر340+11 الی 400+11 با عرض متوسط 23 متر</t>
  </si>
  <si>
    <t xml:space="preserve">بارریزی مصالح خاکریز از کیلومتر  10+560 الی 740+10 </t>
  </si>
  <si>
    <t>تاریخ:1404/08/06</t>
  </si>
  <si>
    <t>'190:شماره گزارش</t>
  </si>
  <si>
    <t>دما :12/ 28</t>
  </si>
  <si>
    <t>شخم زنی و تسطیح رگلاژ آبپاشی و تراکم   بستر زمین طبیعی</t>
  </si>
  <si>
    <t xml:space="preserve">پخش.آب پاشی . تسطیح. و کوبیدن لایه یک خاکریزی با تراکم ٪95 </t>
  </si>
  <si>
    <t xml:space="preserve">جلسه کارگاهی در حضور نمایندگان محترم کارفرما ، مشاور و پیمانکار </t>
  </si>
  <si>
    <t xml:space="preserve">روز:سه شنبه  </t>
  </si>
  <si>
    <t xml:space="preserve">روز:چهار شنبه  </t>
  </si>
  <si>
    <t>تاریخ:1404/08/07</t>
  </si>
  <si>
    <t>'191:شماره گزارش</t>
  </si>
  <si>
    <t>شخم زنی و تسطیح رگلاژ آبپاشی و تراکم بستر زمین طبیعی کیلومتر 250+7 الی 360+7 و 420+12 الی 520+12 و 770+12 الی 170+13</t>
  </si>
  <si>
    <t xml:space="preserve">بارریزی مصالح خاکریز از کیلومتر 240+6 الی 500+6 و 10+360 الی 820+10 </t>
  </si>
  <si>
    <t>فلاشینگ ساندویچ پانل</t>
  </si>
  <si>
    <t>پرداخت حقوق معوقه پرسنل کارگاه</t>
  </si>
  <si>
    <t>مهندسین مشاور فرا گیتی</t>
  </si>
  <si>
    <t>شرکت سپند ساز</t>
  </si>
  <si>
    <t>63/س/1404</t>
  </si>
  <si>
    <t>1404/08/07</t>
  </si>
  <si>
    <t>تاریخ:1404/08/08</t>
  </si>
  <si>
    <t xml:space="preserve">روز:پنج شنبه  </t>
  </si>
  <si>
    <t>'192:شماره گزارش</t>
  </si>
  <si>
    <t>شخم زنی و تسطیح رگلاژ آبپاشی و تراکم بستر زمین طبیعی کیلومتر 450+6 الی 600+6 و 180+8 الی 280+8 و 400+8 الی 460+8 و 340+13 الی 590+13 تراکم 90 و 95 درصد</t>
  </si>
  <si>
    <t xml:space="preserve">بارریزی مصالح خاکریز از کیلومتر 000+6 الی 200+6 و 740+10 الی 100+11 </t>
  </si>
  <si>
    <t>تاریخ:1404/08/09</t>
  </si>
  <si>
    <t>'193:شماره گزارش</t>
  </si>
  <si>
    <t>شخم زنی و تسطیح رگلاژ آبپاشی و تراکم بستر زمین طبیعی کیلومتر 000+9 الی 400+6  تراکم 90 و 95 درصد</t>
  </si>
  <si>
    <t xml:space="preserve">بارریزی مصالح خاکریز از کیلومتر 450+6 الی 600+6 و 000+11 الی 600+11 </t>
  </si>
  <si>
    <t>تاریخ:1404/08/10</t>
  </si>
  <si>
    <t>'194:شماره گزارش</t>
  </si>
  <si>
    <t>دما :12/ 27</t>
  </si>
  <si>
    <t>شخم زنی و تسطیح رگلاژ آبپاشی و تراکم بستر زمین طبیعی کیلومتر</t>
  </si>
  <si>
    <t>خاکبرداری از معدن قرضه کیلومتر 600+10 و 300+7</t>
  </si>
  <si>
    <t xml:space="preserve">بارریزی مصالح خاکریز از کیلومتر 030+10 الی 10+250 و 250+7 الی 300+7 </t>
  </si>
  <si>
    <t>پخش.آب پاشی . تسطیح. و کوبیدن لایه یک سابگرید با تراکم ٪100 از کیلومتر  660+6 الی 780+6 با عرض متوسط 23 متر از کیلومتر  560+7 الی 660+7 با عرض متوسط 22 متر</t>
  </si>
  <si>
    <t>تاریخ:1404/08/11</t>
  </si>
  <si>
    <t>'195:شماره گزارش</t>
  </si>
  <si>
    <t>دما :11/ 26</t>
  </si>
  <si>
    <t>خاکبرداری از معدن قرضه کیلومتر 800+11 و 200+7</t>
  </si>
  <si>
    <t>بارریزی مصالح خاکریز از کیلومتر 800+11 الی 12+180 و 900+6 الی 200+7</t>
  </si>
  <si>
    <t>پخش.آب پاشی . تسطیح. و کوبیدن لایه دو خاکریز با تراکم ٪90 از کیلومتر  10+520الی 640+10 (با عرض متوسط 21 متر)</t>
  </si>
  <si>
    <t>پخش.آب پاشی . تسطیح. و کوبیدن لایه سه خاکریز با تراکم ٪95 از کیلومتر  10+350الی 520+10 (با عرض متوسط 20 متر)</t>
  </si>
  <si>
    <t xml:space="preserve">پخش.آب پاشی . تسطیح. و کوبیدن لایه دو خاکریز با تراکم ٪90 از کیلومتر </t>
  </si>
  <si>
    <t>تاریخ:1404/08/13</t>
  </si>
  <si>
    <t>'197:شماره گزارش</t>
  </si>
  <si>
    <t>دما :6/ 18</t>
  </si>
  <si>
    <t xml:space="preserve">شخم زنی و تسطیح رگلاژ آبپاشی و تراکم بستر زمین طبیعی از کیلومتر </t>
  </si>
  <si>
    <t xml:space="preserve">خاکبرداری از معدن قرضه کیلومتر </t>
  </si>
  <si>
    <t>بارریزی مصالح خاکریز از کیلومتر</t>
  </si>
  <si>
    <t>پخش.آب پاشی . تسطیح. و کوبیدن لایه سه خاکریز با تراکم ٪95 از کیلومتر</t>
  </si>
  <si>
    <t>مونتاژ و'نصب بچینگ</t>
  </si>
  <si>
    <t>جرثقیل 50 تن</t>
  </si>
  <si>
    <t>تاریخ:1404/08/14</t>
  </si>
  <si>
    <t>'198:شماره گزارش</t>
  </si>
  <si>
    <t>دما :17/ 20</t>
  </si>
  <si>
    <t>تاریخ:1404/08/15</t>
  </si>
  <si>
    <t>'199:شماره گزارش</t>
  </si>
  <si>
    <t>دما :17/ 21</t>
  </si>
  <si>
    <t>اجرای قالب و شناژ ساختمان خوابگاه نظارت</t>
  </si>
  <si>
    <t>بچینگ</t>
  </si>
  <si>
    <t>تاریخ:1404/08/16</t>
  </si>
  <si>
    <t>200:شماره گزارش</t>
  </si>
  <si>
    <t>دما :18/ 21</t>
  </si>
  <si>
    <t>پخش.آب پاشی . تسطیح. و کوبیدن لایه دو خاکریز با تراکم ٪95 از کیلومتر660+10 الی 780+10 عرض متوسط 21 متر</t>
  </si>
  <si>
    <t>اپراتور بچینگ</t>
  </si>
  <si>
    <t>شخم زنی و تسطیح رگلاژ آبپاشی و تراکم بستر زمین طبیعی از کیلومتر 600+6 الی 6+650 عرض متوسط 22 متر و کیلومتر 7+450 الی 560+7 عرض متوسط 20 متر</t>
  </si>
  <si>
    <t>201:شماره گزارش</t>
  </si>
  <si>
    <t>دما :8/ 22</t>
  </si>
  <si>
    <t>شخم زنی و تسطیح رگلاژ آبپاشی و تراکم بستر زمین طبیعی از کیلومتر 0</t>
  </si>
  <si>
    <t xml:space="preserve">پخش.آب پاشی . تسطیح. و کوبیدن لایه دو خاکریز با تراکم ٪90 از کیلومتر780+10 الی 930+10 عرض متوسط 21 </t>
  </si>
  <si>
    <t>خاکبرداری از معدن قرضه کیلومتر 000+11 و کیلومتر 200+8</t>
  </si>
  <si>
    <t>بارریزی مصالح خاکریز از کیلومتر080+10 الی 10+520 و کیلومتر 470+7 الی 7+570</t>
  </si>
  <si>
    <t>پخش.آب پاشی . تسطیح. و کوبیدن لایه یک خاکریز با تراکم ٪95 از کیلومتر550+6 الی 6+650 عرض متوسط 21 متر وکیلومتر250+7 الی 360+7 عرض متوسط 23 متر</t>
  </si>
  <si>
    <t>تاریخ:1404/08/17</t>
  </si>
  <si>
    <t>تاریخ:1404/08/18</t>
  </si>
  <si>
    <t>202:شماره گزارش</t>
  </si>
  <si>
    <t>دما :8/ 21</t>
  </si>
  <si>
    <t xml:space="preserve">پخش.آب پاشی . تسطیح. و کوبیدن لایه یک خاکریز با تراکم ٪90 از کیلومتر930+10 الی 000+11 عرض متوسط 23 </t>
  </si>
  <si>
    <t>1404/08/18</t>
  </si>
  <si>
    <t>3951/س/1404</t>
  </si>
  <si>
    <t>احجام عملیات خاکی تا پایان مهرماه</t>
  </si>
  <si>
    <t>عقب ماندگی عملیات اجرایی طبق برنامه زمانبندی</t>
  </si>
  <si>
    <t>66/س/1404</t>
  </si>
  <si>
    <t>3949/س/1404</t>
  </si>
  <si>
    <t>ارسال طرح اختلاط بتن c16 , c25</t>
  </si>
  <si>
    <t>بارریزی مصالح خاکریز از کیلومتر120+11 الی 25+11و کیلومتر 870+6 الی 960+6</t>
  </si>
  <si>
    <t>پخش.آب پاشی . تسطیح. و کوبیدن لایه یک خاکریز با تراکم ٪95 از کیلومتر000+11 الی 11+240(عرض متوسط 2 متر )و لایه یک سابگرید تراکم100  ازکیلومتر440+5 الی 5+600 عرض متوسط 22 متر</t>
  </si>
  <si>
    <t>تاریخ:1404/08/19</t>
  </si>
  <si>
    <t>203:شماره گزارش</t>
  </si>
  <si>
    <t>دما :8/ 23</t>
  </si>
  <si>
    <t xml:space="preserve">پخش.آب پاشی . تسطیح. و کوبیدن لایه یک خاکریز با تراکم ٪90 از کیلومتر </t>
  </si>
  <si>
    <t>پخش.آب پاشی . تسطیح. و کوبیدن لایه یک خاکریز با تراکم ٪95 از کیلومتر</t>
  </si>
  <si>
    <t>جوشکاری و مونتاژ بچینگ</t>
  </si>
  <si>
    <t>بارریزی مصالح خاکریز از کیلومتر800+10 الی 11+120و کیلومتر 870+6 الی 980+6</t>
  </si>
  <si>
    <t>تاریخ:1404/08/20</t>
  </si>
  <si>
    <t>204:شماره گزارش</t>
  </si>
  <si>
    <t>دما :6/ 21</t>
  </si>
  <si>
    <t>بارریزی مصالح خاکریز از کیلومتر000+12 الی 12+200و کیلومتر 870+6 الی 970+6</t>
  </si>
  <si>
    <t>تاریخ:1404/08/21</t>
  </si>
  <si>
    <t>205:شماره گزارش</t>
  </si>
  <si>
    <t>دما :9/ 22</t>
  </si>
  <si>
    <t>پخش.آب پاشی . تسطیح. و کوبیدن لایه یک خاکریز با تراکم ٪95 از کیلومتر250+11 الی 11+340(عرض متوسط 22 متر )</t>
  </si>
  <si>
    <t>بتن ریزی ستون های ساختمان تجهیز کارگاه</t>
  </si>
  <si>
    <t>شخم زنی و تسطیح رگلاژ آبپاشی و تراکم   بستر زمین طبیعی از کیلومتر400+8 الی 8+460و کیلومتر 550+9 الی 750+9 و کیلومتر 810+6 الی 040+ 7 و کیلومتر 7+240 الی 280+7 عرض متوسط 23 متر</t>
  </si>
  <si>
    <t>تاریخ:1404/08/22</t>
  </si>
  <si>
    <t>206:شماره گزارش</t>
  </si>
  <si>
    <t>شخم زنی و تسطیح رگلاژ آبپاشی و تراکم   بستر زمین طبیعی از کیلومتر</t>
  </si>
  <si>
    <t>پخش.آب پاشی . تسطیح. و کوبیدن لایه چهار خاکریز با تراکم ٪95 از کیلومتر350+10 الی 10+520(عرض متوسط 19 متر ) لایه یک خاکریز با تراکم ٪95 از کیلومتر340+11 الی 11+470(عرض متوسط 23 متر )</t>
  </si>
  <si>
    <t>تاریخ:1404/08/23</t>
  </si>
  <si>
    <t>20.7:شماره گزارش</t>
  </si>
  <si>
    <t xml:space="preserve">پخش.آب پاشی . تسطیح. و کوبیدن لایه چهار خاکریز با تراکم ٪95 از کیلومتر </t>
  </si>
  <si>
    <t>بارریزی مصالح خاکریز از کیلومتر240+11 الی 11+340و کیلومتر 970+6 الی 700+8</t>
  </si>
  <si>
    <t>تاریخ:1404/08/24</t>
  </si>
  <si>
    <t>دما :10/ 21</t>
  </si>
  <si>
    <t>شخم زنی و تسطیح رگلاژ آبپاشی و تراکم   بستر زمین طبیعی از کیلومتر750+8 الی 9+000 (عرض متوسط22 متر )</t>
  </si>
  <si>
    <t>لایه یک خاکریز با تراکم ٪90 از کیلومتر810+6 الی 040+7(عرض متوسط 23 متر )'پخش.آب پاشی . تسطیح. و کوبیدن لایه یک خاکریز با تراکم ٪90 از کیلومتر470+11 الی 11+660(عرض متوسط 22 متر )</t>
  </si>
  <si>
    <t>لایه یک خاکریز با تراکم ٪95 از کیلومتر520+10 الی 660+10(عرض متوسط 23 متر )'پخش.آب پاشی . تسطیح. و کوبیدن لایه چهار خاکریز با تراکم ٪95 از کیلومتر240+6 الی 6+360(عرض متوسط 19 متر ) لایه یک خاکریز با تراکم ٪95 از کیلومتر660+11 الی 11+740(عرض متوسط 24متر )</t>
  </si>
  <si>
    <t>بارریزی مصالح خاکریز از کیلومتر700+10 الی 11+800و کیلومتر 400+8 الی 500+9</t>
  </si>
  <si>
    <t>تاریخ:1404/08/25</t>
  </si>
  <si>
    <t>208:شماره گزارش</t>
  </si>
  <si>
    <t>دما :12/ 20</t>
  </si>
  <si>
    <t>بارریزی مصالح خاکریز از کیلومتر660+10 الی 10+800و کیلومتر 050+7 الی 500+8</t>
  </si>
  <si>
    <t xml:space="preserve">پخش.آب پاشی . تسطیح. و کوبیدن لایه یک خاکریز با تراکم ٪90 </t>
  </si>
  <si>
    <t>'پخش.آب پاشی . تسطیح. و کوبیدن لایه چهار خاکریز با تراکم ٪95 از کیلومتر</t>
  </si>
  <si>
    <t>محوطه سازی تجهیز کارگاه</t>
  </si>
  <si>
    <t>تاریخ:1404/08/26</t>
  </si>
  <si>
    <t>209:شماره گزارش</t>
  </si>
  <si>
    <t>دما :13/ 22</t>
  </si>
  <si>
    <t>''پخش.آب پاشی . تسطیح. و کوبیدن لایه یک خاکریز با تراکم ٪95 از کیلومتر780+11 الی 11+890(عرض متوسط 23 متر ) لایه سه خاکریز با تراکم ٪95 از کیلومتر660+10 الی 10+930(عرض متوسط 21متر ) لایه یک سابگرید  با تراکم ٪100 از کیلومتر620+5 الی  5+700(عرض متوسط 22متر )</t>
  </si>
  <si>
    <t>پخش.آب پاشی . تسطیح. و کوبیدن لایه دو خاکریز با تراکم ٪90 از کیلومتر810+6 الی 6+040(عرض متوسط 20 متر ) لایه یک خاکریز با تراکم ٪90 از کیلومتر240+7 الی 4+280(عرض متوسط 23متر )</t>
  </si>
  <si>
    <t>رعایت الزامات و موارد ایمنی HSE</t>
  </si>
  <si>
    <t>1404/08/26</t>
  </si>
  <si>
    <t>67/س/1404</t>
  </si>
  <si>
    <t>بارریزی مصالح خاکریز از کیلومتر450+12الی 12+800و کیلومتر 050+7 الی 200+7</t>
  </si>
  <si>
    <t>شخم زنی و تسطیح رگلاژ آبپاشی و تراکم   بستر زمین طبیعی از کیلومتر750+9  الی 9+800 (عرض متوسط 20 متر )و کیلومتر 9+920 الی 950+9  (عرض متوسط 21 متر )</t>
  </si>
  <si>
    <t>پخش.آب پاشی . تسطیح. و کوبیدن لایه دو خاکریز با تراکم ٪90 از کیلومتر</t>
  </si>
  <si>
    <t>شخم زنی و تسطیح رگلاژ آبپاشی و تراکم بستر زمین طبیعی از کیلومتر</t>
  </si>
  <si>
    <t>تاریخ:1404/08/27</t>
  </si>
  <si>
    <t>210:شماره گزارش</t>
  </si>
  <si>
    <t>دما :9/ 19</t>
  </si>
  <si>
    <t>1404/08/27</t>
  </si>
  <si>
    <t>صورت وضعیت موقت شماره 5</t>
  </si>
  <si>
    <t>3979/س/1404</t>
  </si>
  <si>
    <t>پرداخت مطالبات معوقه نیرو انسانی</t>
  </si>
  <si>
    <t>68/س/1404</t>
  </si>
  <si>
    <t>69/س/1404</t>
  </si>
  <si>
    <t>عدم حضور سرپرست کارگاه</t>
  </si>
  <si>
    <t>بارریزی مصالح خاکریز از کیلومتر770+12الی 12+970و کیلومتر 250+6الی 700+6</t>
  </si>
  <si>
    <t xml:space="preserve">روز: چهارشنبه  </t>
  </si>
  <si>
    <t>تاریخ:1404/08/28</t>
  </si>
  <si>
    <t>211:شماره گزارش</t>
  </si>
  <si>
    <t>دما :7/ 18</t>
  </si>
  <si>
    <t>بارریزی مصالح خاکریز از کیلومتر000+13الی 13+170و کیلومتر 900+8الی 960+8</t>
  </si>
  <si>
    <t>پخش.آب پاشی . تسطیح. و کوبیدن لایه یک خاکریز با تراکم ٪95 از کیلومتر050+7 الی 7+230(عرض متوسط 23 متر ) لایه یک خاکریز با تراکم ٪95 از کیلومتر780+12 الی 12+970(عرض متوسط 22متر )</t>
  </si>
  <si>
    <t>تاریخ:1404/08/29</t>
  </si>
  <si>
    <t>212:شماره گزارش</t>
  </si>
  <si>
    <t>دما :7/ 17</t>
  </si>
  <si>
    <t xml:space="preserve">روز: پنجشنبه  </t>
  </si>
  <si>
    <t>بارریزی مصالح خاکریز از کیلومتر970+12الی 13+200و کیلومتر 900+8الی 960+8</t>
  </si>
  <si>
    <t>خاکبرداری از معدن قرضه کیلومتر 000+11 و کیلومتر 900+8</t>
  </si>
  <si>
    <t>پخش.آب پاشی . تسطیح. و کوبیدن لایه سه خاکریز با تراکم ٪90 از کیلومتر810+6 الی 7+040(عرض متوسط 19 متر ) لایه یک خاکریز با تراکم ٪90 از کیلومتر240+7 الی 7+280(عرض متوسط 22متر )لایه یک خاکریز با تراکم ٪90 از کیلومتر320+7 الی 360+7(عرض متوسط 23متر )</t>
  </si>
  <si>
    <t>تاریخ:1404/08/30</t>
  </si>
  <si>
    <t xml:space="preserve">روز: جمعه  </t>
  </si>
  <si>
    <t>213:شماره گزارش</t>
  </si>
  <si>
    <t>دما :7/ 16</t>
  </si>
  <si>
    <t>پخش.آب پاشی . تسطیح. و کوبیدن لایه یک خاکریز با تراکم ٪95 از کیلومتر300+7 الی 7+340(عرض متوسط 23 متر ) لایه یک خاکریز با تراکم ٪95 از کیلومتر700+10 الی 10+800(عرض متوسط 18متر )</t>
  </si>
  <si>
    <t>بارریزی مصالح خاکریز از کیلومتر000+8الی 10+660</t>
  </si>
  <si>
    <t>خاکبرداری از معدن قرضه کیلومتر 000+11 و کیلومتر 250+8</t>
  </si>
  <si>
    <t>پخش.آب پاشی . تسطیح. و کوبیدن لایه سه خاکریز با تراکم ٪90 از کیلومتر340+7 الی 7+360(عرض متوسط 20 متر ) لایه یک خاکریز با تراکم ٪90 از کیلومتر600+9 الی 9+680(عرض متوسط 22متر )لایه یک خاکریز با تراکم ٪90 از کیلومتر270+9 الی 9+380(عرض متوسط 23متر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</si>
</sst>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1"/>
      <color theme="1"/>
      <name val="Calibri"/>
      <family val="2"/>
      <charset val="178"/>
      <scheme val="minor"/>
    </font>
    <font>
      <b/>
      <i/>
      <sz val="12"/>
      <color theme="1"/>
      <name val="B Mitra"/>
      <charset val="178"/>
    </font>
    <font>
      <b/>
      <sz val="8"/>
      <color theme="1"/>
      <name val="B Mitra"/>
      <charset val="178"/>
    </font>
    <font>
      <sz val="14"/>
      <color theme="1"/>
      <name val="B Mitra"/>
      <charset val="178"/>
    </font>
    <font>
      <sz val="14"/>
      <color theme="1"/>
      <name val="Calibri"/>
      <family val="2"/>
      <charset val="178"/>
      <scheme val="minor"/>
    </font>
    <font>
      <sz val="18"/>
      <color theme="1"/>
      <name val="Calibri"/>
      <family val="2"/>
      <charset val="178"/>
      <scheme val="minor"/>
    </font>
    <font>
      <sz val="20"/>
      <color theme="1"/>
      <name val="Calibri"/>
      <family val="2"/>
      <charset val="178"/>
      <scheme val="minor"/>
    </font>
    <font>
      <b/>
      <i/>
      <sz val="18"/>
      <color theme="1"/>
      <name val="B Mitra"/>
      <charset val="178"/>
    </font>
    <font>
      <b/>
      <i/>
      <sz val="20"/>
      <color theme="1"/>
      <name val="B Mitra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b/>
      <sz val="16"/>
      <color theme="1"/>
      <name val="B Nazanin"/>
      <charset val="178"/>
    </font>
    <font>
      <sz val="19"/>
      <color theme="1"/>
      <name val="B Nazanin"/>
      <charset val="178"/>
    </font>
    <font>
      <i/>
      <sz val="19"/>
      <color theme="1"/>
      <name val="B Nazanin"/>
      <charset val="178"/>
    </font>
    <font>
      <sz val="22"/>
      <color theme="1"/>
      <name val="B Nazanin"/>
      <charset val="178"/>
    </font>
    <font>
      <b/>
      <sz val="26"/>
      <color theme="1"/>
      <name val="B Nazanin"/>
      <charset val="178"/>
    </font>
    <font>
      <b/>
      <sz val="28"/>
      <color theme="1"/>
      <name val="B Nazanin"/>
      <charset val="178"/>
    </font>
    <font>
      <b/>
      <sz val="22"/>
      <color theme="1"/>
      <name val="B Nazanin"/>
      <charset val="178"/>
    </font>
    <font>
      <sz val="28"/>
      <color theme="1"/>
      <name val="B Nazanin"/>
      <charset val="178"/>
    </font>
    <font>
      <b/>
      <i/>
      <sz val="28"/>
      <color theme="1"/>
      <name val="B Nazanin"/>
      <charset val="178"/>
    </font>
    <font>
      <sz val="24"/>
      <color theme="1"/>
      <name val="B Nazanin"/>
      <charset val="178"/>
    </font>
    <font>
      <sz val="26"/>
      <color theme="1"/>
      <name val="B Nazanin"/>
      <charset val="178"/>
    </font>
    <font>
      <sz val="28"/>
      <name val="B Nazanin"/>
      <charset val="178"/>
    </font>
    <font>
      <sz val="36"/>
      <color theme="1"/>
      <name val="B Nazanin"/>
      <charset val="178"/>
    </font>
    <font>
      <sz val="24"/>
      <color theme="1"/>
      <name val="Calibri"/>
      <family val="2"/>
      <charset val="178"/>
      <scheme val="minor"/>
    </font>
    <font>
      <b/>
      <sz val="36"/>
      <color theme="1"/>
      <name val="B Nazanin"/>
      <charset val="178"/>
    </font>
    <font>
      <b/>
      <i/>
      <sz val="26"/>
      <color theme="1"/>
      <name val="B Nazanin"/>
      <charset val="178"/>
    </font>
    <font>
      <b/>
      <sz val="24"/>
      <name val="B Nazanin"/>
      <charset val="178"/>
    </font>
    <font>
      <b/>
      <sz val="18"/>
      <color theme="1"/>
      <name val="B Mitra"/>
      <charset val="178"/>
    </font>
    <font>
      <b/>
      <sz val="48"/>
      <name val="B Nazanin"/>
      <charset val="178"/>
    </font>
    <font>
      <sz val="36"/>
      <name val="B Nazanin"/>
      <charset val="178"/>
    </font>
    <font>
      <b/>
      <sz val="48"/>
      <color theme="1"/>
      <name val="B Nazanin"/>
      <charset val="178"/>
    </font>
    <font>
      <sz val="30"/>
      <color theme="1"/>
      <name val="B Nazanin"/>
      <charset val="178"/>
    </font>
    <font>
      <sz val="28"/>
      <color rgb="FFFF0000"/>
      <name val="B Nazanin"/>
      <charset val="178"/>
    </font>
    <font>
      <sz val="48"/>
      <color theme="1"/>
      <name val="B Nazanin"/>
      <charset val="178"/>
    </font>
    <font>
      <sz val="40"/>
      <color theme="1"/>
      <name val="B Nazanin"/>
      <charset val="178"/>
    </font>
    <font>
      <b/>
      <i/>
      <sz val="24"/>
      <color theme="1"/>
      <name val="B Nazanin"/>
      <charset val="178"/>
    </font>
    <font>
      <b/>
      <i/>
      <sz val="24"/>
      <color theme="1"/>
      <name val="B Mitra"/>
      <charset val="178"/>
    </font>
    <font>
      <sz val="37"/>
      <color theme="1"/>
      <name val="B Nazanin"/>
      <charset val="178"/>
    </font>
    <font>
      <sz val="48"/>
      <name val="B Nazanin"/>
      <charset val="178"/>
    </font>
    <font>
      <sz val="40"/>
      <name val="B Nazanin"/>
      <charset val="178"/>
    </font>
    <font>
      <sz val="33"/>
      <color theme="1"/>
      <name val="B Nazanin"/>
      <charset val="178"/>
    </font>
    <font>
      <b/>
      <sz val="36"/>
      <name val="B Nazanin"/>
      <charset val="178"/>
    </font>
    <font>
      <sz val="33"/>
      <name val="B Nazanin"/>
      <charset val="178"/>
    </font>
    <font>
      <sz val="40"/>
      <color theme="1"/>
      <name val="Calibri"/>
      <family val="2"/>
      <charset val="178"/>
      <scheme val="minor"/>
    </font>
    <font>
      <sz val="24"/>
      <color theme="1"/>
      <name val="18"/>
    </font>
    <font>
      <sz val="24"/>
      <color theme="1"/>
      <name val="Times New Roman"/>
      <family val="1"/>
    </font>
    <font>
      <sz val="46"/>
      <color theme="1"/>
      <name val="B Nazanin"/>
      <charset val="178"/>
    </font>
    <font>
      <b/>
      <sz val="28"/>
      <name val="B Nazanin"/>
      <charset val="178"/>
    </font>
    <font>
      <sz val="30"/>
      <name val="B Nazanin"/>
      <charset val="178"/>
    </font>
    <font>
      <sz val="32"/>
      <color theme="1"/>
      <name val="B Nazanin"/>
      <charset val="178"/>
    </font>
    <font>
      <sz val="48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49"/>
      <color theme="1"/>
      <name val="B Nazanin"/>
      <charset val="178"/>
    </font>
    <font>
      <sz val="34"/>
      <name val="B Nazanin"/>
      <charset val="178"/>
    </font>
    <font>
      <sz val="34"/>
      <color theme="1"/>
      <name val="B Nazanin"/>
      <charset val="178"/>
    </font>
    <font>
      <sz val="42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06">
    <xf numFmtId="0" fontId="0" fillId="0" borderId="0" xfId="0"/>
    <xf numFmtId="0" fontId="2" fillId="2" borderId="0" xfId="0" applyFont="1" applyFill="1" applyAlignment="1">
      <alignment horizontal="center" vertical="top" wrapText="1" readingOrder="2"/>
    </xf>
    <xf numFmtId="0" fontId="1" fillId="0" borderId="0" xfId="0" applyFont="1" applyAlignment="1">
      <alignment vertical="top" wrapText="1" readingOrder="2"/>
    </xf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/>
    <xf numFmtId="0" fontId="7" fillId="0" borderId="0" xfId="0" applyFont="1" applyAlignment="1">
      <alignment vertical="top" wrapText="1" readingOrder="2"/>
    </xf>
    <xf numFmtId="0" fontId="6" fillId="0" borderId="0" xfId="0" applyFont="1"/>
    <xf numFmtId="0" fontId="8" fillId="0" borderId="0" xfId="0" quotePrefix="1" applyFont="1" applyAlignment="1">
      <alignment horizontal="left" vertical="top" wrapText="1" readingOrder="2"/>
    </xf>
    <xf numFmtId="0" fontId="3" fillId="0" borderId="0" xfId="0" applyFont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 readingOrder="2"/>
    </xf>
    <xf numFmtId="0" fontId="10" fillId="0" borderId="4" xfId="0" applyFont="1" applyBorder="1" applyAlignment="1">
      <alignment horizontal="center" vertical="center" textRotation="255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16" fillId="2" borderId="0" xfId="0" applyFont="1" applyFill="1" applyAlignment="1">
      <alignment vertical="top" wrapText="1" readingOrder="2"/>
    </xf>
    <xf numFmtId="0" fontId="18" fillId="0" borderId="0" xfId="0" applyFont="1" applyAlignment="1">
      <alignment vertical="center" readingOrder="2"/>
    </xf>
    <xf numFmtId="4" fontId="18" fillId="2" borderId="0" xfId="0" applyNumberFormat="1" applyFont="1" applyFill="1" applyAlignment="1">
      <alignment horizontal="center" vertical="center" wrapText="1" readingOrder="2"/>
    </xf>
    <xf numFmtId="3" fontId="18" fillId="2" borderId="0" xfId="0" applyNumberFormat="1" applyFont="1" applyFill="1" applyAlignment="1">
      <alignment horizontal="center" vertical="center" wrapText="1" readingOrder="2"/>
    </xf>
    <xf numFmtId="0" fontId="18" fillId="0" borderId="0" xfId="0" applyFont="1"/>
    <xf numFmtId="0" fontId="19" fillId="0" borderId="0" xfId="0" applyFont="1" applyAlignment="1">
      <alignment vertical="top" wrapText="1" readingOrder="2"/>
    </xf>
    <xf numFmtId="3" fontId="16" fillId="2" borderId="0" xfId="0" applyNumberFormat="1" applyFont="1" applyFill="1" applyAlignment="1">
      <alignment vertical="top" wrapText="1" readingOrder="2"/>
    </xf>
    <xf numFmtId="3" fontId="15" fillId="2" borderId="0" xfId="0" applyNumberFormat="1" applyFont="1" applyFill="1" applyAlignment="1">
      <alignment vertical="top" wrapText="1" readingOrder="2"/>
    </xf>
    <xf numFmtId="0" fontId="14" fillId="0" borderId="3" xfId="0" applyFont="1" applyBorder="1" applyAlignment="1">
      <alignment horizontal="center" vertical="center" wrapText="1" readingOrder="2"/>
    </xf>
    <xf numFmtId="2" fontId="16" fillId="2" borderId="0" xfId="0" applyNumberFormat="1" applyFont="1" applyFill="1" applyAlignment="1">
      <alignment vertical="top" wrapText="1" readingOrder="2"/>
    </xf>
    <xf numFmtId="0" fontId="21" fillId="2" borderId="3" xfId="0" applyFont="1" applyFill="1" applyBorder="1" applyAlignment="1">
      <alignment horizontal="center" vertical="center" wrapText="1" readingOrder="2"/>
    </xf>
    <xf numFmtId="0" fontId="18" fillId="0" borderId="3" xfId="0" applyFont="1" applyBorder="1" applyAlignment="1">
      <alignment horizontal="center" vertical="center" wrapText="1" readingOrder="2"/>
    </xf>
    <xf numFmtId="3" fontId="24" fillId="0" borderId="0" xfId="0" applyNumberFormat="1" applyFont="1"/>
    <xf numFmtId="3" fontId="24" fillId="0" borderId="0" xfId="0" applyNumberFormat="1" applyFont="1" applyAlignment="1">
      <alignment horizontal="right"/>
    </xf>
    <xf numFmtId="3" fontId="24" fillId="0" borderId="0" xfId="0" applyNumberFormat="1" applyFont="1" applyAlignment="1">
      <alignment readingOrder="2"/>
    </xf>
    <xf numFmtId="0" fontId="21" fillId="0" borderId="3" xfId="0" applyFont="1" applyBorder="1" applyAlignment="1">
      <alignment horizontal="center" vertical="center" wrapText="1" readingOrder="2"/>
    </xf>
    <xf numFmtId="38" fontId="16" fillId="2" borderId="0" xfId="0" applyNumberFormat="1" applyFont="1" applyFill="1" applyAlignment="1">
      <alignment vertical="center" wrapText="1" readingOrder="2"/>
    </xf>
    <xf numFmtId="0" fontId="10" fillId="0" borderId="4" xfId="0" applyFont="1" applyBorder="1" applyAlignment="1">
      <alignment horizontal="center" vertical="center" wrapText="1" readingOrder="2"/>
    </xf>
    <xf numFmtId="0" fontId="28" fillId="2" borderId="0" xfId="0" applyFont="1" applyFill="1" applyAlignment="1">
      <alignment horizontal="center" vertical="top" wrapText="1" readingOrder="2"/>
    </xf>
    <xf numFmtId="0" fontId="21" fillId="0" borderId="2" xfId="0" applyFont="1" applyBorder="1" applyAlignment="1">
      <alignment horizontal="center" vertical="center"/>
    </xf>
    <xf numFmtId="38" fontId="31" fillId="2" borderId="1" xfId="0" applyNumberFormat="1" applyFont="1" applyFill="1" applyBorder="1" applyAlignment="1">
      <alignment horizontal="center" vertical="center" wrapText="1" readingOrder="2"/>
    </xf>
    <xf numFmtId="0" fontId="32" fillId="2" borderId="3" xfId="0" applyFont="1" applyFill="1" applyBorder="1" applyAlignment="1">
      <alignment horizontal="center" vertical="center" wrapText="1" readingOrder="2"/>
    </xf>
    <xf numFmtId="0" fontId="23" fillId="2" borderId="1" xfId="0" applyFont="1" applyFill="1" applyBorder="1" applyAlignment="1">
      <alignment horizontal="center" vertical="center" wrapText="1" readingOrder="2"/>
    </xf>
    <xf numFmtId="38" fontId="33" fillId="4" borderId="0" xfId="0" applyNumberFormat="1" applyFont="1" applyFill="1"/>
    <xf numFmtId="0" fontId="34" fillId="0" borderId="3" xfId="0" applyFont="1" applyBorder="1" applyAlignment="1">
      <alignment horizontal="center" vertical="center" wrapText="1" readingOrder="2"/>
    </xf>
    <xf numFmtId="0" fontId="36" fillId="0" borderId="0" xfId="0" applyFont="1" applyAlignment="1">
      <alignment horizontal="right" vertical="top" wrapText="1" readingOrder="2"/>
    </xf>
    <xf numFmtId="0" fontId="37" fillId="0" borderId="0" xfId="0" applyFont="1" applyAlignment="1">
      <alignment horizontal="right" vertical="top" wrapText="1" readingOrder="2"/>
    </xf>
    <xf numFmtId="0" fontId="37" fillId="0" borderId="0" xfId="0" quotePrefix="1" applyFont="1" applyAlignment="1">
      <alignment horizontal="right" vertical="top" wrapText="1" readingOrder="2"/>
    </xf>
    <xf numFmtId="0" fontId="24" fillId="0" borderId="0" xfId="0" applyFont="1" applyAlignment="1">
      <alignment horizontal="right"/>
    </xf>
    <xf numFmtId="0" fontId="23" fillId="0" borderId="34" xfId="0" applyFont="1" applyBorder="1" applyAlignment="1">
      <alignment horizontal="center" vertical="center" readingOrder="2"/>
    </xf>
    <xf numFmtId="0" fontId="35" fillId="0" borderId="1" xfId="0" quotePrefix="1" applyFont="1" applyBorder="1" applyAlignment="1">
      <alignment horizontal="center" vertical="center" wrapText="1" readingOrder="2"/>
    </xf>
    <xf numFmtId="38" fontId="16" fillId="2" borderId="0" xfId="0" applyNumberFormat="1" applyFont="1" applyFill="1" applyAlignment="1">
      <alignment horizontal="center" vertical="center" wrapText="1" readingOrder="2"/>
    </xf>
    <xf numFmtId="3" fontId="15" fillId="2" borderId="6" xfId="0" applyNumberFormat="1" applyFont="1" applyFill="1" applyBorder="1" applyAlignment="1">
      <alignment vertical="center" wrapText="1" readingOrder="2"/>
    </xf>
    <xf numFmtId="3" fontId="15" fillId="2" borderId="3" xfId="0" applyNumberFormat="1" applyFont="1" applyFill="1" applyBorder="1" applyAlignment="1">
      <alignment vertical="center" wrapText="1" readingOrder="2"/>
    </xf>
    <xf numFmtId="38" fontId="25" fillId="2" borderId="23" xfId="0" applyNumberFormat="1" applyFont="1" applyFill="1" applyBorder="1" applyAlignment="1">
      <alignment vertical="center" wrapText="1" readingOrder="2"/>
    </xf>
    <xf numFmtId="38" fontId="25" fillId="2" borderId="24" xfId="0" applyNumberFormat="1" applyFont="1" applyFill="1" applyBorder="1" applyAlignment="1">
      <alignment vertical="center" wrapText="1" readingOrder="2"/>
    </xf>
    <xf numFmtId="38" fontId="25" fillId="2" borderId="25" xfId="0" applyNumberFormat="1" applyFont="1" applyFill="1" applyBorder="1" applyAlignment="1">
      <alignment vertical="center" wrapText="1" readingOrder="2"/>
    </xf>
    <xf numFmtId="38" fontId="25" fillId="2" borderId="26" xfId="0" applyNumberFormat="1" applyFont="1" applyFill="1" applyBorder="1" applyAlignment="1">
      <alignment vertical="center" wrapText="1" readingOrder="2"/>
    </xf>
    <xf numFmtId="38" fontId="25" fillId="2" borderId="29" xfId="0" applyNumberFormat="1" applyFont="1" applyFill="1" applyBorder="1" applyAlignment="1">
      <alignment vertical="center" wrapText="1" readingOrder="2"/>
    </xf>
    <xf numFmtId="38" fontId="25" fillId="2" borderId="15" xfId="0" applyNumberFormat="1" applyFont="1" applyFill="1" applyBorder="1" applyAlignment="1">
      <alignment vertical="center" wrapText="1" readingOrder="2"/>
    </xf>
    <xf numFmtId="0" fontId="23" fillId="2" borderId="3" xfId="0" applyFont="1" applyFill="1" applyBorder="1" applyAlignment="1">
      <alignment horizontal="center" vertical="center" wrapText="1" readingOrder="2"/>
    </xf>
    <xf numFmtId="0" fontId="38" fillId="2" borderId="3" xfId="0" applyFont="1" applyFill="1" applyBorder="1" applyAlignment="1">
      <alignment horizontal="center" vertical="center" wrapText="1" readingOrder="2"/>
    </xf>
    <xf numFmtId="0" fontId="38" fillId="2" borderId="1" xfId="0" applyFont="1" applyFill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28" xfId="0" applyFont="1" applyBorder="1" applyAlignment="1">
      <alignment horizontal="center" vertical="center" wrapText="1" readingOrder="2"/>
    </xf>
    <xf numFmtId="0" fontId="23" fillId="0" borderId="28" xfId="0" applyFont="1" applyBorder="1" applyAlignment="1">
      <alignment horizontal="center" vertical="center" wrapText="1" readingOrder="1"/>
    </xf>
    <xf numFmtId="0" fontId="23" fillId="2" borderId="6" xfId="0" applyFont="1" applyFill="1" applyBorder="1" applyAlignment="1">
      <alignment horizontal="center" vertical="center" wrapText="1" readingOrder="2"/>
    </xf>
    <xf numFmtId="0" fontId="23" fillId="2" borderId="15" xfId="0" applyFont="1" applyFill="1" applyBorder="1" applyAlignment="1">
      <alignment horizontal="center" vertical="center" wrapText="1" readingOrder="2"/>
    </xf>
    <xf numFmtId="0" fontId="34" fillId="0" borderId="28" xfId="0" applyFont="1" applyBorder="1" applyAlignment="1">
      <alignment horizontal="center" vertical="center" wrapText="1" readingOrder="2"/>
    </xf>
    <xf numFmtId="0" fontId="14" fillId="0" borderId="3" xfId="0" quotePrefix="1" applyFont="1" applyBorder="1" applyAlignment="1">
      <alignment horizontal="center" vertical="center" wrapText="1" readingOrder="2"/>
    </xf>
    <xf numFmtId="0" fontId="14" fillId="2" borderId="3" xfId="0" applyFont="1" applyFill="1" applyBorder="1" applyAlignment="1">
      <alignment horizontal="center" vertical="center" wrapText="1" readingOrder="2"/>
    </xf>
    <xf numFmtId="0" fontId="21" fillId="0" borderId="3" xfId="0" quotePrefix="1" applyFont="1" applyBorder="1" applyAlignment="1">
      <alignment horizontal="center" vertical="center" wrapText="1" readingOrder="2"/>
    </xf>
    <xf numFmtId="0" fontId="21" fillId="0" borderId="3" xfId="0" quotePrefix="1" applyFont="1" applyBorder="1" applyAlignment="1">
      <alignment horizontal="center" vertical="center" readingOrder="2"/>
    </xf>
    <xf numFmtId="0" fontId="18" fillId="0" borderId="3" xfId="0" applyFont="1" applyBorder="1" applyAlignment="1">
      <alignment horizontal="center" vertical="center" readingOrder="2"/>
    </xf>
    <xf numFmtId="0" fontId="18" fillId="0" borderId="28" xfId="0" applyFont="1" applyBorder="1" applyAlignment="1">
      <alignment horizontal="center" vertical="center" wrapText="1" readingOrder="2"/>
    </xf>
    <xf numFmtId="0" fontId="35" fillId="0" borderId="3" xfId="0" applyFont="1" applyBorder="1" applyAlignment="1">
      <alignment horizontal="center" vertical="center" wrapText="1" readingOrder="2"/>
    </xf>
    <xf numFmtId="0" fontId="35" fillId="2" borderId="3" xfId="0" applyFont="1" applyFill="1" applyBorder="1" applyAlignment="1">
      <alignment horizontal="center" vertical="center" wrapText="1" readingOrder="2"/>
    </xf>
    <xf numFmtId="0" fontId="44" fillId="0" borderId="0" xfId="0" applyFont="1" applyAlignment="1">
      <alignment vertical="center"/>
    </xf>
    <xf numFmtId="0" fontId="45" fillId="0" borderId="3" xfId="0" applyFont="1" applyBorder="1" applyAlignment="1">
      <alignment horizontal="center" vertical="center" wrapText="1" readingOrder="2"/>
    </xf>
    <xf numFmtId="0" fontId="47" fillId="0" borderId="28" xfId="0" applyFont="1" applyBorder="1" applyAlignment="1">
      <alignment horizontal="center" vertical="center" wrapText="1" readingOrder="2"/>
    </xf>
    <xf numFmtId="0" fontId="47" fillId="0" borderId="3" xfId="0" applyFont="1" applyBorder="1" applyAlignment="1">
      <alignment horizontal="center" vertical="center" wrapText="1" readingOrder="2"/>
    </xf>
    <xf numFmtId="2" fontId="35" fillId="2" borderId="0" xfId="0" applyNumberFormat="1" applyFont="1" applyFill="1" applyAlignment="1">
      <alignment vertical="top" wrapText="1" readingOrder="2"/>
    </xf>
    <xf numFmtId="3" fontId="35" fillId="2" borderId="0" xfId="0" applyNumberFormat="1" applyFont="1" applyFill="1" applyAlignment="1">
      <alignment vertical="top" wrapText="1" readingOrder="2"/>
    </xf>
    <xf numFmtId="38" fontId="34" fillId="2" borderId="3" xfId="0" applyNumberFormat="1" applyFont="1" applyFill="1" applyBorder="1" applyAlignment="1">
      <alignment horizontal="center" vertical="center" wrapText="1" readingOrder="2"/>
    </xf>
    <xf numFmtId="0" fontId="35" fillId="2" borderId="0" xfId="0" applyFont="1" applyFill="1" applyAlignment="1">
      <alignment vertical="top" wrapText="1" readingOrder="2"/>
    </xf>
    <xf numFmtId="0" fontId="34" fillId="2" borderId="3" xfId="0" applyFont="1" applyFill="1" applyBorder="1" applyAlignment="1">
      <alignment horizontal="center" vertical="center" wrapText="1" readingOrder="2"/>
    </xf>
    <xf numFmtId="38" fontId="34" fillId="2" borderId="1" xfId="0" applyNumberFormat="1" applyFont="1" applyFill="1" applyBorder="1" applyAlignment="1">
      <alignment horizontal="center" vertical="center" wrapText="1" readingOrder="2"/>
    </xf>
    <xf numFmtId="0" fontId="51" fillId="0" borderId="0" xfId="0" applyFont="1" applyAlignment="1">
      <alignment vertical="center"/>
    </xf>
    <xf numFmtId="0" fontId="23" fillId="0" borderId="4" xfId="0" applyFont="1" applyBorder="1" applyAlignment="1">
      <alignment horizontal="center" vertical="center" wrapText="1" readingOrder="2"/>
    </xf>
    <xf numFmtId="0" fontId="23" fillId="0" borderId="4" xfId="0" applyFont="1" applyBorder="1" applyAlignment="1">
      <alignment horizontal="center" vertical="center" textRotation="255" wrapText="1" readingOrder="2"/>
    </xf>
    <xf numFmtId="0" fontId="32" fillId="0" borderId="3" xfId="0" applyFont="1" applyBorder="1" applyAlignment="1">
      <alignment horizontal="center" vertical="center" wrapText="1" readingOrder="2"/>
    </xf>
    <xf numFmtId="0" fontId="23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 readingOrder="2"/>
    </xf>
    <xf numFmtId="0" fontId="14" fillId="0" borderId="0" xfId="0" applyFont="1" applyAlignment="1">
      <alignment horizontal="center" vertical="center" wrapText="1" readingOrder="2"/>
    </xf>
    <xf numFmtId="3" fontId="15" fillId="2" borderId="28" xfId="0" applyNumberFormat="1" applyFont="1" applyFill="1" applyBorder="1" applyAlignment="1">
      <alignment horizontal="center" vertical="center" wrapText="1" readingOrder="2"/>
    </xf>
    <xf numFmtId="38" fontId="25" fillId="2" borderId="13" xfId="0" applyNumberFormat="1" applyFont="1" applyFill="1" applyBorder="1" applyAlignment="1">
      <alignment horizontal="center" vertical="center" wrapText="1" readingOrder="2"/>
    </xf>
    <xf numFmtId="3" fontId="23" fillId="2" borderId="0" xfId="0" applyNumberFormat="1" applyFont="1" applyFill="1" applyAlignment="1">
      <alignment vertical="top" wrapText="1" readingOrder="2"/>
    </xf>
    <xf numFmtId="0" fontId="15" fillId="0" borderId="1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3" xfId="0" applyFont="1" applyBorder="1" applyAlignment="1">
      <alignment horizontal="right" vertical="top"/>
    </xf>
    <xf numFmtId="0" fontId="18" fillId="0" borderId="1" xfId="0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0" fontId="18" fillId="0" borderId="12" xfId="0" applyFont="1" applyBorder="1" applyAlignment="1">
      <alignment horizontal="right" vertical="top"/>
    </xf>
    <xf numFmtId="3" fontId="34" fillId="0" borderId="8" xfId="0" applyNumberFormat="1" applyFont="1" applyBorder="1" applyAlignment="1">
      <alignment horizontal="center" vertical="center" wrapText="1" readingOrder="2"/>
    </xf>
    <xf numFmtId="3" fontId="34" fillId="0" borderId="5" xfId="0" applyNumberFormat="1" applyFont="1" applyBorder="1" applyAlignment="1">
      <alignment horizontal="center" vertical="center" wrapText="1" readingOrder="2"/>
    </xf>
    <xf numFmtId="3" fontId="34" fillId="0" borderId="2" xfId="0" applyNumberFormat="1" applyFont="1" applyBorder="1" applyAlignment="1">
      <alignment horizontal="center" vertical="center" wrapText="1" readingOrder="2"/>
    </xf>
    <xf numFmtId="0" fontId="15" fillId="0" borderId="2" xfId="0" applyFont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0" fontId="16" fillId="0" borderId="1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 wrapText="1" readingOrder="2"/>
    </xf>
    <xf numFmtId="0" fontId="34" fillId="2" borderId="5" xfId="0" applyFont="1" applyFill="1" applyBorder="1" applyAlignment="1">
      <alignment horizontal="center" vertical="center" wrapText="1" readingOrder="2"/>
    </xf>
    <xf numFmtId="0" fontId="35" fillId="0" borderId="8" xfId="0" applyFont="1" applyBorder="1" applyAlignment="1">
      <alignment vertical="center"/>
    </xf>
    <xf numFmtId="0" fontId="35" fillId="0" borderId="2" xfId="0" applyFont="1" applyBorder="1" applyAlignment="1">
      <alignment vertical="center"/>
    </xf>
    <xf numFmtId="0" fontId="35" fillId="0" borderId="14" xfId="0" applyFont="1" applyBorder="1" applyAlignment="1">
      <alignment vertical="center"/>
    </xf>
    <xf numFmtId="3" fontId="34" fillId="2" borderId="8" xfId="0" applyNumberFormat="1" applyFont="1" applyFill="1" applyBorder="1" applyAlignment="1">
      <alignment horizontal="center" vertical="center" wrapText="1" readingOrder="2"/>
    </xf>
    <xf numFmtId="3" fontId="34" fillId="2" borderId="5" xfId="0" applyNumberFormat="1" applyFont="1" applyFill="1" applyBorder="1" applyAlignment="1">
      <alignment horizontal="center" vertical="center" wrapText="1" readingOrder="2"/>
    </xf>
    <xf numFmtId="0" fontId="35" fillId="0" borderId="2" xfId="0" applyFont="1" applyBorder="1" applyAlignment="1">
      <alignment horizontal="right" vertical="center"/>
    </xf>
    <xf numFmtId="0" fontId="35" fillId="0" borderId="14" xfId="0" applyFont="1" applyBorder="1" applyAlignment="1">
      <alignment horizontal="right" vertical="center"/>
    </xf>
    <xf numFmtId="0" fontId="35" fillId="2" borderId="8" xfId="0" quotePrefix="1" applyFont="1" applyFill="1" applyBorder="1" applyAlignment="1">
      <alignment vertical="center" wrapText="1" readingOrder="2"/>
    </xf>
    <xf numFmtId="0" fontId="35" fillId="2" borderId="2" xfId="0" quotePrefix="1" applyFont="1" applyFill="1" applyBorder="1" applyAlignment="1">
      <alignment vertical="center" wrapText="1" readingOrder="2"/>
    </xf>
    <xf numFmtId="0" fontId="35" fillId="2" borderId="14" xfId="0" quotePrefix="1" applyFont="1" applyFill="1" applyBorder="1" applyAlignment="1">
      <alignment vertical="center" wrapText="1" readingOrder="2"/>
    </xf>
    <xf numFmtId="0" fontId="18" fillId="2" borderId="8" xfId="0" applyFont="1" applyFill="1" applyBorder="1" applyAlignment="1">
      <alignment horizontal="center" vertical="center" wrapText="1" readingOrder="2"/>
    </xf>
    <xf numFmtId="0" fontId="18" fillId="2" borderId="2" xfId="0" applyFont="1" applyFill="1" applyBorder="1" applyAlignment="1">
      <alignment horizontal="center" vertical="center" wrapText="1" readingOrder="2"/>
    </xf>
    <xf numFmtId="0" fontId="18" fillId="2" borderId="5" xfId="0" applyFont="1" applyFill="1" applyBorder="1" applyAlignment="1">
      <alignment horizontal="center" vertical="center" wrapText="1" readingOrder="2"/>
    </xf>
    <xf numFmtId="0" fontId="25" fillId="3" borderId="3" xfId="0" applyFont="1" applyFill="1" applyBorder="1" applyAlignment="1">
      <alignment horizontal="center" vertical="center" wrapText="1" readingOrder="2"/>
    </xf>
    <xf numFmtId="0" fontId="25" fillId="3" borderId="1" xfId="0" applyFont="1" applyFill="1" applyBorder="1" applyAlignment="1">
      <alignment horizontal="center" vertical="center" wrapText="1" readingOrder="2"/>
    </xf>
    <xf numFmtId="0" fontId="34" fillId="0" borderId="8" xfId="0" applyFont="1" applyBorder="1" applyAlignment="1">
      <alignment horizontal="center" vertical="center" wrapText="1" readingOrder="2"/>
    </xf>
    <xf numFmtId="0" fontId="34" fillId="0" borderId="5" xfId="0" applyFont="1" applyBorder="1" applyAlignment="1">
      <alignment horizontal="center" vertical="center" wrapText="1" readingOrder="2"/>
    </xf>
    <xf numFmtId="0" fontId="34" fillId="0" borderId="2" xfId="0" applyFont="1" applyBorder="1" applyAlignment="1">
      <alignment horizontal="center" vertical="center" wrapText="1" readingOrder="2"/>
    </xf>
    <xf numFmtId="0" fontId="41" fillId="2" borderId="8" xfId="0" applyFont="1" applyFill="1" applyBorder="1" applyAlignment="1">
      <alignment horizontal="center" vertical="center" wrapText="1" readingOrder="2"/>
    </xf>
    <xf numFmtId="0" fontId="41" fillId="2" borderId="2" xfId="0" applyFont="1" applyFill="1" applyBorder="1" applyAlignment="1">
      <alignment horizontal="center" vertical="center" wrapText="1" readingOrder="2"/>
    </xf>
    <xf numFmtId="0" fontId="41" fillId="2" borderId="5" xfId="0" applyFont="1" applyFill="1" applyBorder="1" applyAlignment="1">
      <alignment horizontal="center" vertical="center" wrapText="1" readingOrder="2"/>
    </xf>
    <xf numFmtId="0" fontId="23" fillId="2" borderId="8" xfId="0" applyFont="1" applyFill="1" applyBorder="1" applyAlignment="1">
      <alignment horizontal="center" vertical="center" wrapText="1" readingOrder="2"/>
    </xf>
    <xf numFmtId="0" fontId="23" fillId="2" borderId="2" xfId="0" applyFont="1" applyFill="1" applyBorder="1" applyAlignment="1">
      <alignment horizontal="center" vertical="center" wrapText="1" readingOrder="2"/>
    </xf>
    <xf numFmtId="0" fontId="23" fillId="2" borderId="5" xfId="0" applyFont="1" applyFill="1" applyBorder="1" applyAlignment="1">
      <alignment horizontal="center" vertical="center" wrapText="1" readingOrder="2"/>
    </xf>
    <xf numFmtId="0" fontId="18" fillId="0" borderId="3" xfId="0" applyFont="1" applyBorder="1" applyAlignment="1">
      <alignment horizontal="center" vertical="center" wrapText="1" readingOrder="2"/>
    </xf>
    <xf numFmtId="0" fontId="23" fillId="2" borderId="25" xfId="0" applyFont="1" applyFill="1" applyBorder="1" applyAlignment="1">
      <alignment horizontal="center" vertical="center" wrapText="1" readingOrder="2"/>
    </xf>
    <xf numFmtId="0" fontId="23" fillId="2" borderId="21" xfId="0" applyFont="1" applyFill="1" applyBorder="1" applyAlignment="1">
      <alignment horizontal="center" vertical="center" wrapText="1" readingOrder="2"/>
    </xf>
    <xf numFmtId="0" fontId="23" fillId="2" borderId="26" xfId="0" applyFont="1" applyFill="1" applyBorder="1" applyAlignment="1">
      <alignment horizontal="center" vertical="center" wrapText="1" readingOrder="2"/>
    </xf>
    <xf numFmtId="0" fontId="22" fillId="2" borderId="8" xfId="0" quotePrefix="1" applyFont="1" applyFill="1" applyBorder="1" applyAlignment="1">
      <alignment horizontal="center" vertical="center" wrapText="1" readingOrder="2"/>
    </xf>
    <xf numFmtId="0" fontId="22" fillId="2" borderId="2" xfId="0" quotePrefix="1" applyFont="1" applyFill="1" applyBorder="1" applyAlignment="1">
      <alignment horizontal="center" vertical="center" wrapText="1" readingOrder="2"/>
    </xf>
    <xf numFmtId="0" fontId="22" fillId="2" borderId="5" xfId="0" quotePrefix="1" applyFont="1" applyFill="1" applyBorder="1" applyAlignment="1">
      <alignment horizontal="center" vertical="center" wrapText="1" readingOrder="2"/>
    </xf>
    <xf numFmtId="0" fontId="47" fillId="0" borderId="27" xfId="0" applyFont="1" applyBorder="1" applyAlignment="1">
      <alignment horizontal="center" vertical="center" wrapText="1" readingOrder="2"/>
    </xf>
    <xf numFmtId="0" fontId="47" fillId="0" borderId="28" xfId="0" applyFont="1" applyBorder="1" applyAlignment="1">
      <alignment horizontal="center" vertical="center" wrapText="1" readingOrder="2"/>
    </xf>
    <xf numFmtId="0" fontId="34" fillId="0" borderId="28" xfId="0" applyFont="1" applyBorder="1" applyAlignment="1">
      <alignment horizontal="center" vertical="center" wrapText="1" readingOrder="2"/>
    </xf>
    <xf numFmtId="0" fontId="34" fillId="0" borderId="6" xfId="0" applyFont="1" applyBorder="1" applyAlignment="1">
      <alignment horizontal="center" vertical="center" wrapText="1" readingOrder="2"/>
    </xf>
    <xf numFmtId="0" fontId="39" fillId="2" borderId="10" xfId="0" quotePrefix="1" applyFont="1" applyFill="1" applyBorder="1" applyAlignment="1">
      <alignment horizontal="center" vertical="center" wrapText="1" readingOrder="2"/>
    </xf>
    <xf numFmtId="0" fontId="39" fillId="2" borderId="9" xfId="0" quotePrefix="1" applyFont="1" applyFill="1" applyBorder="1" applyAlignment="1">
      <alignment horizontal="center" vertical="center" wrapText="1" readingOrder="2"/>
    </xf>
    <xf numFmtId="0" fontId="39" fillId="2" borderId="20" xfId="0" quotePrefix="1" applyFont="1" applyFill="1" applyBorder="1" applyAlignment="1">
      <alignment horizontal="center" vertical="center" wrapText="1" readingOrder="2"/>
    </xf>
    <xf numFmtId="0" fontId="39" fillId="2" borderId="25" xfId="0" quotePrefix="1" applyFont="1" applyFill="1" applyBorder="1" applyAlignment="1">
      <alignment horizontal="center" vertical="center" wrapText="1" readingOrder="2"/>
    </xf>
    <xf numFmtId="0" fontId="39" fillId="2" borderId="21" xfId="0" quotePrefix="1" applyFont="1" applyFill="1" applyBorder="1" applyAlignment="1">
      <alignment horizontal="center" vertical="center" wrapText="1" readingOrder="2"/>
    </xf>
    <xf numFmtId="0" fontId="39" fillId="2" borderId="26" xfId="0" quotePrefix="1" applyFont="1" applyFill="1" applyBorder="1" applyAlignment="1">
      <alignment horizontal="center" vertical="center" wrapText="1" readingOrder="2"/>
    </xf>
    <xf numFmtId="3" fontId="15" fillId="2" borderId="28" xfId="0" applyNumberFormat="1" applyFont="1" applyFill="1" applyBorder="1" applyAlignment="1">
      <alignment horizontal="center" vertical="center" wrapText="1" readingOrder="2"/>
    </xf>
    <xf numFmtId="3" fontId="15" fillId="2" borderId="6" xfId="0" applyNumberFormat="1" applyFont="1" applyFill="1" applyBorder="1" applyAlignment="1">
      <alignment horizontal="center" vertical="center" wrapText="1" readingOrder="2"/>
    </xf>
    <xf numFmtId="38" fontId="25" fillId="2" borderId="10" xfId="0" applyNumberFormat="1" applyFont="1" applyFill="1" applyBorder="1" applyAlignment="1">
      <alignment horizontal="center" vertical="center" wrapText="1" readingOrder="2"/>
    </xf>
    <xf numFmtId="38" fontId="25" fillId="2" borderId="20" xfId="0" applyNumberFormat="1" applyFont="1" applyFill="1" applyBorder="1" applyAlignment="1">
      <alignment horizontal="center" vertical="center" wrapText="1" readingOrder="2"/>
    </xf>
    <xf numFmtId="38" fontId="25" fillId="2" borderId="25" xfId="0" applyNumberFormat="1" applyFont="1" applyFill="1" applyBorder="1" applyAlignment="1">
      <alignment horizontal="center" vertical="center" wrapText="1" readingOrder="2"/>
    </xf>
    <xf numFmtId="38" fontId="25" fillId="2" borderId="26" xfId="0" applyNumberFormat="1" applyFont="1" applyFill="1" applyBorder="1" applyAlignment="1">
      <alignment horizontal="center" vertical="center" wrapText="1" readingOrder="2"/>
    </xf>
    <xf numFmtId="38" fontId="25" fillId="2" borderId="13" xfId="0" applyNumberFormat="1" applyFont="1" applyFill="1" applyBorder="1" applyAlignment="1">
      <alignment horizontal="center" vertical="center" wrapText="1" readingOrder="2"/>
    </xf>
    <xf numFmtId="38" fontId="25" fillId="2" borderId="15" xfId="0" applyNumberFormat="1" applyFont="1" applyFill="1" applyBorder="1" applyAlignment="1">
      <alignment horizontal="center" vertical="center" wrapText="1" readingOrder="2"/>
    </xf>
    <xf numFmtId="0" fontId="15" fillId="3" borderId="8" xfId="0" quotePrefix="1" applyFont="1" applyFill="1" applyBorder="1" applyAlignment="1">
      <alignment horizontal="center" vertical="center" wrapText="1"/>
    </xf>
    <xf numFmtId="0" fontId="15" fillId="3" borderId="2" xfId="0" quotePrefix="1" applyFont="1" applyFill="1" applyBorder="1" applyAlignment="1">
      <alignment horizontal="center" vertical="center" wrapText="1"/>
    </xf>
    <xf numFmtId="0" fontId="15" fillId="3" borderId="14" xfId="0" quotePrefix="1" applyFont="1" applyFill="1" applyBorder="1" applyAlignment="1">
      <alignment horizontal="center" vertical="center" wrapText="1"/>
    </xf>
    <xf numFmtId="0" fontId="30" fillId="2" borderId="8" xfId="0" quotePrefix="1" applyFont="1" applyFill="1" applyBorder="1" applyAlignment="1">
      <alignment horizontal="center" vertical="center" wrapText="1" readingOrder="2"/>
    </xf>
    <xf numFmtId="0" fontId="30" fillId="2" borderId="2" xfId="0" quotePrefix="1" applyFont="1" applyFill="1" applyBorder="1" applyAlignment="1">
      <alignment horizontal="center" vertical="center" wrapText="1" readingOrder="2"/>
    </xf>
    <xf numFmtId="0" fontId="30" fillId="2" borderId="5" xfId="0" quotePrefix="1" applyFont="1" applyFill="1" applyBorder="1" applyAlignment="1">
      <alignment horizontal="center" vertical="center" wrapText="1" readingOrder="2"/>
    </xf>
    <xf numFmtId="0" fontId="17" fillId="3" borderId="4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 readingOrder="2"/>
    </xf>
    <xf numFmtId="0" fontId="17" fillId="3" borderId="1" xfId="0" applyFont="1" applyFill="1" applyBorder="1" applyAlignment="1">
      <alignment horizontal="center" vertical="center" wrapText="1" readingOrder="2"/>
    </xf>
    <xf numFmtId="38" fontId="16" fillId="2" borderId="0" xfId="0" applyNumberFormat="1" applyFont="1" applyFill="1" applyAlignment="1">
      <alignment horizontal="center" vertical="center" wrapText="1" readingOrder="2"/>
    </xf>
    <xf numFmtId="0" fontId="16" fillId="2" borderId="0" xfId="0" applyFont="1" applyFill="1" applyAlignment="1">
      <alignment horizontal="center" vertical="center" wrapText="1" readingOrder="2"/>
    </xf>
    <xf numFmtId="0" fontId="30" fillId="2" borderId="10" xfId="0" quotePrefix="1" applyFont="1" applyFill="1" applyBorder="1" applyAlignment="1">
      <alignment horizontal="center" vertical="center" wrapText="1" readingOrder="2"/>
    </xf>
    <xf numFmtId="0" fontId="30" fillId="2" borderId="9" xfId="0" quotePrefix="1" applyFont="1" applyFill="1" applyBorder="1" applyAlignment="1">
      <alignment horizontal="center" vertical="center" wrapText="1" readingOrder="2"/>
    </xf>
    <xf numFmtId="0" fontId="30" fillId="2" borderId="20" xfId="0" quotePrefix="1" applyFont="1" applyFill="1" applyBorder="1" applyAlignment="1">
      <alignment horizontal="center" vertical="center" wrapText="1" readingOrder="2"/>
    </xf>
    <xf numFmtId="0" fontId="30" fillId="2" borderId="25" xfId="0" quotePrefix="1" applyFont="1" applyFill="1" applyBorder="1" applyAlignment="1">
      <alignment horizontal="center" vertical="center" wrapText="1" readingOrder="2"/>
    </xf>
    <xf numFmtId="0" fontId="30" fillId="2" borderId="21" xfId="0" quotePrefix="1" applyFont="1" applyFill="1" applyBorder="1" applyAlignment="1">
      <alignment horizontal="center" vertical="center" wrapText="1" readingOrder="2"/>
    </xf>
    <xf numFmtId="0" fontId="30" fillId="2" borderId="26" xfId="0" quotePrefix="1" applyFont="1" applyFill="1" applyBorder="1" applyAlignment="1">
      <alignment horizontal="center" vertical="center" wrapText="1" readingOrder="2"/>
    </xf>
    <xf numFmtId="0" fontId="34" fillId="0" borderId="3" xfId="0" applyFont="1" applyBorder="1" applyAlignment="1">
      <alignment horizontal="center" vertical="center" wrapText="1" readingOrder="2"/>
    </xf>
    <xf numFmtId="0" fontId="34" fillId="0" borderId="22" xfId="0" applyFont="1" applyBorder="1" applyAlignment="1">
      <alignment horizontal="center" vertical="center" wrapText="1" readingOrder="2"/>
    </xf>
    <xf numFmtId="0" fontId="43" fillId="2" borderId="10" xfId="0" quotePrefix="1" applyFont="1" applyFill="1" applyBorder="1" applyAlignment="1">
      <alignment horizontal="center" vertical="center" wrapText="1" readingOrder="2"/>
    </xf>
    <xf numFmtId="0" fontId="43" fillId="2" borderId="9" xfId="0" quotePrefix="1" applyFont="1" applyFill="1" applyBorder="1" applyAlignment="1">
      <alignment horizontal="center" vertical="center" wrapText="1" readingOrder="2"/>
    </xf>
    <xf numFmtId="0" fontId="43" fillId="2" borderId="20" xfId="0" quotePrefix="1" applyFont="1" applyFill="1" applyBorder="1" applyAlignment="1">
      <alignment horizontal="center" vertical="center" wrapText="1" readingOrder="2"/>
    </xf>
    <xf numFmtId="0" fontId="43" fillId="2" borderId="23" xfId="0" quotePrefix="1" applyFont="1" applyFill="1" applyBorder="1" applyAlignment="1">
      <alignment horizontal="center" vertical="center" wrapText="1" readingOrder="2"/>
    </xf>
    <xf numFmtId="0" fontId="43" fillId="2" borderId="0" xfId="0" quotePrefix="1" applyFont="1" applyFill="1" applyAlignment="1">
      <alignment horizontal="center" vertical="center" wrapText="1" readingOrder="2"/>
    </xf>
    <xf numFmtId="0" fontId="43" fillId="2" borderId="24" xfId="0" quotePrefix="1" applyFont="1" applyFill="1" applyBorder="1" applyAlignment="1">
      <alignment horizontal="center" vertical="center" wrapText="1" readingOrder="2"/>
    </xf>
    <xf numFmtId="0" fontId="43" fillId="2" borderId="25" xfId="0" quotePrefix="1" applyFont="1" applyFill="1" applyBorder="1" applyAlignment="1">
      <alignment horizontal="center" vertical="center" wrapText="1" readingOrder="2"/>
    </xf>
    <xf numFmtId="0" fontId="43" fillId="2" borderId="21" xfId="0" quotePrefix="1" applyFont="1" applyFill="1" applyBorder="1" applyAlignment="1">
      <alignment horizontal="center" vertical="center" wrapText="1" readingOrder="2"/>
    </xf>
    <xf numFmtId="0" fontId="43" fillId="2" borderId="26" xfId="0" quotePrefix="1" applyFont="1" applyFill="1" applyBorder="1" applyAlignment="1">
      <alignment horizontal="center" vertical="center" wrapText="1" readingOrder="2"/>
    </xf>
    <xf numFmtId="3" fontId="16" fillId="2" borderId="28" xfId="0" applyNumberFormat="1" applyFont="1" applyFill="1" applyBorder="1" applyAlignment="1">
      <alignment horizontal="center" vertical="center" wrapText="1" readingOrder="2"/>
    </xf>
    <xf numFmtId="3" fontId="16" fillId="2" borderId="22" xfId="0" applyNumberFormat="1" applyFont="1" applyFill="1" applyBorder="1" applyAlignment="1">
      <alignment horizontal="center" vertical="center" wrapText="1" readingOrder="2"/>
    </xf>
    <xf numFmtId="3" fontId="16" fillId="2" borderId="6" xfId="0" applyNumberFormat="1" applyFont="1" applyFill="1" applyBorder="1" applyAlignment="1">
      <alignment horizontal="center" vertical="center" wrapText="1" readingOrder="2"/>
    </xf>
    <xf numFmtId="38" fontId="31" fillId="2" borderId="10" xfId="0" applyNumberFormat="1" applyFont="1" applyFill="1" applyBorder="1" applyAlignment="1">
      <alignment horizontal="center" vertical="center" wrapText="1" readingOrder="2"/>
    </xf>
    <xf numFmtId="38" fontId="31" fillId="2" borderId="20" xfId="0" applyNumberFormat="1" applyFont="1" applyFill="1" applyBorder="1" applyAlignment="1">
      <alignment horizontal="center" vertical="center" wrapText="1" readingOrder="2"/>
    </xf>
    <xf numFmtId="38" fontId="31" fillId="2" borderId="23" xfId="0" applyNumberFormat="1" applyFont="1" applyFill="1" applyBorder="1" applyAlignment="1">
      <alignment horizontal="center" vertical="center" wrapText="1" readingOrder="2"/>
    </xf>
    <xf numFmtId="38" fontId="31" fillId="2" borderId="24" xfId="0" applyNumberFormat="1" applyFont="1" applyFill="1" applyBorder="1" applyAlignment="1">
      <alignment horizontal="center" vertical="center" wrapText="1" readingOrder="2"/>
    </xf>
    <xf numFmtId="38" fontId="31" fillId="2" borderId="25" xfId="0" applyNumberFormat="1" applyFont="1" applyFill="1" applyBorder="1" applyAlignment="1">
      <alignment horizontal="center" vertical="center" wrapText="1" readingOrder="2"/>
    </xf>
    <xf numFmtId="38" fontId="31" fillId="2" borderId="26" xfId="0" applyNumberFormat="1" applyFont="1" applyFill="1" applyBorder="1" applyAlignment="1">
      <alignment horizontal="center" vertical="center" wrapText="1" readingOrder="2"/>
    </xf>
    <xf numFmtId="38" fontId="31" fillId="2" borderId="28" xfId="0" applyNumberFormat="1" applyFont="1" applyFill="1" applyBorder="1" applyAlignment="1">
      <alignment horizontal="center" vertical="center" wrapText="1" readingOrder="2"/>
    </xf>
    <xf numFmtId="38" fontId="31" fillId="2" borderId="22" xfId="0" applyNumberFormat="1" applyFont="1" applyFill="1" applyBorder="1" applyAlignment="1">
      <alignment horizontal="center" vertical="center" wrapText="1" readingOrder="2"/>
    </xf>
    <xf numFmtId="38" fontId="31" fillId="2" borderId="6" xfId="0" applyNumberFormat="1" applyFont="1" applyFill="1" applyBorder="1" applyAlignment="1">
      <alignment horizontal="center" vertical="center" wrapText="1" readingOrder="2"/>
    </xf>
    <xf numFmtId="38" fontId="15" fillId="2" borderId="0" xfId="0" applyNumberFormat="1" applyFont="1" applyFill="1" applyAlignment="1">
      <alignment horizontal="center" vertical="center" wrapText="1" readingOrder="2"/>
    </xf>
    <xf numFmtId="38" fontId="31" fillId="2" borderId="13" xfId="0" applyNumberFormat="1" applyFont="1" applyFill="1" applyBorder="1" applyAlignment="1">
      <alignment horizontal="center" vertical="center" wrapText="1" readingOrder="2"/>
    </xf>
    <xf numFmtId="38" fontId="31" fillId="2" borderId="15" xfId="0" applyNumberFormat="1" applyFont="1" applyFill="1" applyBorder="1" applyAlignment="1">
      <alignment horizontal="center" vertical="center" wrapText="1" readingOrder="2"/>
    </xf>
    <xf numFmtId="0" fontId="23" fillId="2" borderId="10" xfId="0" quotePrefix="1" applyFont="1" applyFill="1" applyBorder="1" applyAlignment="1">
      <alignment horizontal="center" vertical="center" wrapText="1" readingOrder="2"/>
    </xf>
    <xf numFmtId="0" fontId="23" fillId="2" borderId="9" xfId="0" quotePrefix="1" applyFont="1" applyFill="1" applyBorder="1" applyAlignment="1">
      <alignment horizontal="center" vertical="center" wrapText="1" readingOrder="2"/>
    </xf>
    <xf numFmtId="0" fontId="23" fillId="2" borderId="20" xfId="0" quotePrefix="1" applyFont="1" applyFill="1" applyBorder="1" applyAlignment="1">
      <alignment horizontal="center" vertical="center" wrapText="1" readingOrder="2"/>
    </xf>
    <xf numFmtId="0" fontId="23" fillId="2" borderId="23" xfId="0" quotePrefix="1" applyFont="1" applyFill="1" applyBorder="1" applyAlignment="1">
      <alignment horizontal="center" vertical="center" wrapText="1" readingOrder="2"/>
    </xf>
    <xf numFmtId="0" fontId="23" fillId="2" borderId="0" xfId="0" quotePrefix="1" applyFont="1" applyFill="1" applyAlignment="1">
      <alignment horizontal="center" vertical="center" wrapText="1" readingOrder="2"/>
    </xf>
    <xf numFmtId="0" fontId="23" fillId="2" borderId="24" xfId="0" quotePrefix="1" applyFont="1" applyFill="1" applyBorder="1" applyAlignment="1">
      <alignment horizontal="center" vertical="center" wrapText="1" readingOrder="2"/>
    </xf>
    <xf numFmtId="0" fontId="23" fillId="2" borderId="25" xfId="0" quotePrefix="1" applyFont="1" applyFill="1" applyBorder="1" applyAlignment="1">
      <alignment horizontal="center" vertical="center" wrapText="1" readingOrder="2"/>
    </xf>
    <xf numFmtId="0" fontId="23" fillId="2" borderId="21" xfId="0" quotePrefix="1" applyFont="1" applyFill="1" applyBorder="1" applyAlignment="1">
      <alignment horizontal="center" vertical="center" wrapText="1" readingOrder="2"/>
    </xf>
    <xf numFmtId="0" fontId="23" fillId="2" borderId="26" xfId="0" quotePrefix="1" applyFont="1" applyFill="1" applyBorder="1" applyAlignment="1">
      <alignment horizontal="center" vertical="center" wrapText="1" readingOrder="2"/>
    </xf>
    <xf numFmtId="3" fontId="15" fillId="2" borderId="22" xfId="0" applyNumberFormat="1" applyFont="1" applyFill="1" applyBorder="1" applyAlignment="1">
      <alignment horizontal="center" vertical="center" wrapText="1" readingOrder="2"/>
    </xf>
    <xf numFmtId="38" fontId="31" fillId="0" borderId="10" xfId="0" applyNumberFormat="1" applyFont="1" applyBorder="1" applyAlignment="1">
      <alignment horizontal="center" vertical="center" wrapText="1" readingOrder="2"/>
    </xf>
    <xf numFmtId="38" fontId="31" fillId="0" borderId="20" xfId="0" applyNumberFormat="1" applyFont="1" applyBorder="1" applyAlignment="1">
      <alignment horizontal="center" vertical="center" wrapText="1" readingOrder="2"/>
    </xf>
    <xf numFmtId="38" fontId="31" fillId="0" borderId="23" xfId="0" applyNumberFormat="1" applyFont="1" applyBorder="1" applyAlignment="1">
      <alignment horizontal="center" vertical="center" wrapText="1" readingOrder="2"/>
    </xf>
    <xf numFmtId="38" fontId="31" fillId="0" borderId="24" xfId="0" applyNumberFormat="1" applyFont="1" applyBorder="1" applyAlignment="1">
      <alignment horizontal="center" vertical="center" wrapText="1" readingOrder="2"/>
    </xf>
    <xf numFmtId="38" fontId="31" fillId="0" borderId="25" xfId="0" applyNumberFormat="1" applyFont="1" applyBorder="1" applyAlignment="1">
      <alignment horizontal="center" vertical="center" wrapText="1" readingOrder="2"/>
    </xf>
    <xf numFmtId="38" fontId="31" fillId="0" borderId="26" xfId="0" applyNumberFormat="1" applyFont="1" applyBorder="1" applyAlignment="1">
      <alignment horizontal="center" vertical="center" wrapText="1" readingOrder="2"/>
    </xf>
    <xf numFmtId="38" fontId="31" fillId="0" borderId="8" xfId="0" applyNumberFormat="1" applyFont="1" applyBorder="1" applyAlignment="1">
      <alignment horizontal="center" vertical="center" wrapText="1" readingOrder="2"/>
    </xf>
    <xf numFmtId="38" fontId="31" fillId="0" borderId="5" xfId="0" applyNumberFormat="1" applyFont="1" applyBorder="1" applyAlignment="1">
      <alignment horizontal="center" vertical="center" wrapText="1" readingOrder="2"/>
    </xf>
    <xf numFmtId="0" fontId="23" fillId="2" borderId="10" xfId="0" quotePrefix="1" applyFont="1" applyFill="1" applyBorder="1" applyAlignment="1">
      <alignment horizontal="center" vertical="center" wrapText="1"/>
    </xf>
    <xf numFmtId="0" fontId="23" fillId="2" borderId="9" xfId="0" quotePrefix="1" applyFont="1" applyFill="1" applyBorder="1" applyAlignment="1">
      <alignment horizontal="center" vertical="center" wrapText="1"/>
    </xf>
    <xf numFmtId="0" fontId="23" fillId="2" borderId="20" xfId="0" quotePrefix="1" applyFont="1" applyFill="1" applyBorder="1" applyAlignment="1">
      <alignment horizontal="center" vertical="center" wrapText="1"/>
    </xf>
    <xf numFmtId="0" fontId="23" fillId="2" borderId="25" xfId="0" quotePrefix="1" applyFont="1" applyFill="1" applyBorder="1" applyAlignment="1">
      <alignment horizontal="center" vertical="center" wrapText="1"/>
    </xf>
    <xf numFmtId="0" fontId="23" fillId="2" borderId="21" xfId="0" quotePrefix="1" applyFont="1" applyFill="1" applyBorder="1" applyAlignment="1">
      <alignment horizontal="center" vertical="center" wrapText="1"/>
    </xf>
    <xf numFmtId="0" fontId="23" fillId="2" borderId="26" xfId="0" quotePrefix="1" applyFont="1" applyFill="1" applyBorder="1" applyAlignment="1">
      <alignment horizontal="center" vertical="center" wrapText="1"/>
    </xf>
    <xf numFmtId="3" fontId="18" fillId="2" borderId="0" xfId="0" applyNumberFormat="1" applyFont="1" applyFill="1" applyAlignment="1">
      <alignment horizontal="center" vertical="center" wrapText="1" readingOrder="2"/>
    </xf>
    <xf numFmtId="0" fontId="27" fillId="2" borderId="10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27" fillId="2" borderId="25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2" borderId="26" xfId="0" applyFont="1" applyFill="1" applyBorder="1" applyAlignment="1">
      <alignment horizontal="center" vertical="center" wrapText="1"/>
    </xf>
    <xf numFmtId="3" fontId="17" fillId="2" borderId="28" xfId="0" applyNumberFormat="1" applyFont="1" applyFill="1" applyBorder="1" applyAlignment="1">
      <alignment horizontal="center" vertical="center" wrapText="1" readingOrder="2"/>
    </xf>
    <xf numFmtId="3" fontId="17" fillId="2" borderId="6" xfId="0" applyNumberFormat="1" applyFont="1" applyFill="1" applyBorder="1" applyAlignment="1">
      <alignment horizontal="center" vertical="center" wrapText="1" readingOrder="2"/>
    </xf>
    <xf numFmtId="0" fontId="40" fillId="2" borderId="8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0" fontId="40" fillId="2" borderId="5" xfId="0" applyFont="1" applyFill="1" applyBorder="1" applyAlignment="1">
      <alignment horizontal="center" vertical="center" wrapText="1"/>
    </xf>
    <xf numFmtId="38" fontId="29" fillId="2" borderId="8" xfId="0" applyNumberFormat="1" applyFont="1" applyFill="1" applyBorder="1" applyAlignment="1">
      <alignment horizontal="center" vertical="center" wrapText="1" readingOrder="2"/>
    </xf>
    <xf numFmtId="38" fontId="29" fillId="2" borderId="5" xfId="0" applyNumberFormat="1" applyFont="1" applyFill="1" applyBorder="1" applyAlignment="1">
      <alignment horizontal="center" vertical="center" wrapText="1" readingOrder="2"/>
    </xf>
    <xf numFmtId="0" fontId="16" fillId="2" borderId="3" xfId="0" applyFont="1" applyFill="1" applyBorder="1" applyAlignment="1">
      <alignment horizontal="center" vertical="center" wrapText="1" readingOrder="2"/>
    </xf>
    <xf numFmtId="3" fontId="17" fillId="2" borderId="3" xfId="0" applyNumberFormat="1" applyFont="1" applyFill="1" applyBorder="1" applyAlignment="1">
      <alignment horizontal="center" vertical="center" wrapText="1" readingOrder="2"/>
    </xf>
    <xf numFmtId="38" fontId="31" fillId="2" borderId="3" xfId="0" applyNumberFormat="1" applyFont="1" applyFill="1" applyBorder="1" applyAlignment="1">
      <alignment horizontal="center" vertical="center" wrapText="1" readingOrder="2"/>
    </xf>
    <xf numFmtId="0" fontId="42" fillId="2" borderId="10" xfId="0" applyFont="1" applyFill="1" applyBorder="1" applyAlignment="1">
      <alignment horizontal="center" vertical="center" wrapText="1"/>
    </xf>
    <xf numFmtId="0" fontId="42" fillId="2" borderId="9" xfId="0" applyFont="1" applyFill="1" applyBorder="1" applyAlignment="1">
      <alignment horizontal="center" vertical="center" wrapText="1"/>
    </xf>
    <xf numFmtId="0" fontId="42" fillId="2" borderId="20" xfId="0" applyFont="1" applyFill="1" applyBorder="1" applyAlignment="1">
      <alignment horizontal="center" vertical="center" wrapText="1"/>
    </xf>
    <xf numFmtId="0" fontId="42" fillId="2" borderId="23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0" fontId="42" fillId="2" borderId="24" xfId="0" applyFont="1" applyFill="1" applyBorder="1" applyAlignment="1">
      <alignment horizontal="center" vertical="center" wrapText="1"/>
    </xf>
    <xf numFmtId="0" fontId="42" fillId="2" borderId="25" xfId="0" applyFont="1" applyFill="1" applyBorder="1" applyAlignment="1">
      <alignment horizontal="center" vertical="center" wrapText="1"/>
    </xf>
    <xf numFmtId="0" fontId="42" fillId="2" borderId="21" xfId="0" applyFont="1" applyFill="1" applyBorder="1" applyAlignment="1">
      <alignment horizontal="center" vertical="center" wrapText="1"/>
    </xf>
    <xf numFmtId="0" fontId="42" fillId="2" borderId="26" xfId="0" applyFont="1" applyFill="1" applyBorder="1" applyAlignment="1">
      <alignment horizontal="center" vertical="center" wrapText="1"/>
    </xf>
    <xf numFmtId="3" fontId="17" fillId="2" borderId="22" xfId="0" applyNumberFormat="1" applyFont="1" applyFill="1" applyBorder="1" applyAlignment="1">
      <alignment horizontal="center" vertical="center" wrapText="1" readingOrder="2"/>
    </xf>
    <xf numFmtId="38" fontId="31" fillId="2" borderId="29" xfId="0" applyNumberFormat="1" applyFont="1" applyFill="1" applyBorder="1" applyAlignment="1">
      <alignment horizontal="center" vertical="center" wrapText="1" readingOrder="2"/>
    </xf>
    <xf numFmtId="0" fontId="20" fillId="0" borderId="8" xfId="0" applyFont="1" applyBorder="1" applyAlignment="1">
      <alignment horizontal="center" vertical="center" wrapText="1" readingOrder="2"/>
    </xf>
    <xf numFmtId="0" fontId="20" fillId="0" borderId="5" xfId="0" applyFont="1" applyBorder="1" applyAlignment="1">
      <alignment horizontal="center" vertical="center" wrapText="1" readingOrder="2"/>
    </xf>
    <xf numFmtId="0" fontId="21" fillId="0" borderId="8" xfId="0" applyFont="1" applyBorder="1" applyAlignment="1">
      <alignment horizontal="center" vertical="center" wrapText="1" readingOrder="2"/>
    </xf>
    <xf numFmtId="0" fontId="21" fillId="0" borderId="5" xfId="0" applyFont="1" applyBorder="1" applyAlignment="1">
      <alignment horizontal="center" vertical="center" wrapText="1" readingOrder="2"/>
    </xf>
    <xf numFmtId="0" fontId="21" fillId="2" borderId="8" xfId="0" applyFont="1" applyFill="1" applyBorder="1" applyAlignment="1">
      <alignment horizontal="center" vertical="center" wrapText="1" readingOrder="2"/>
    </xf>
    <xf numFmtId="0" fontId="21" fillId="2" borderId="5" xfId="0" applyFont="1" applyFill="1" applyBorder="1" applyAlignment="1">
      <alignment horizontal="center" vertical="center" wrapText="1" readingOrder="2"/>
    </xf>
    <xf numFmtId="0" fontId="26" fillId="3" borderId="8" xfId="0" applyFont="1" applyFill="1" applyBorder="1" applyAlignment="1">
      <alignment horizontal="center" vertical="center" wrapText="1" readingOrder="2"/>
    </xf>
    <xf numFmtId="0" fontId="26" fillId="3" borderId="2" xfId="0" applyFont="1" applyFill="1" applyBorder="1" applyAlignment="1">
      <alignment horizontal="center" vertical="center" wrapText="1" readingOrder="2"/>
    </xf>
    <xf numFmtId="0" fontId="26" fillId="3" borderId="14" xfId="0" applyFont="1" applyFill="1" applyBorder="1" applyAlignment="1">
      <alignment horizontal="center" vertical="center" wrapText="1" readingOrder="2"/>
    </xf>
    <xf numFmtId="0" fontId="17" fillId="0" borderId="3" xfId="0" applyFont="1" applyBorder="1" applyAlignment="1">
      <alignment horizontal="center" vertical="center" wrapText="1" readingOrder="2"/>
    </xf>
    <xf numFmtId="0" fontId="17" fillId="0" borderId="10" xfId="0" applyFont="1" applyBorder="1" applyAlignment="1">
      <alignment horizontal="center" vertical="center" wrapText="1" readingOrder="2"/>
    </xf>
    <xf numFmtId="0" fontId="17" fillId="0" borderId="9" xfId="0" applyFont="1" applyBorder="1" applyAlignment="1">
      <alignment horizontal="center" vertical="center" wrapText="1" readingOrder="2"/>
    </xf>
    <xf numFmtId="0" fontId="17" fillId="0" borderId="25" xfId="0" applyFont="1" applyBorder="1" applyAlignment="1">
      <alignment horizontal="center" vertical="center" wrapText="1" readingOrder="2"/>
    </xf>
    <xf numFmtId="0" fontId="17" fillId="0" borderId="21" xfId="0" applyFont="1" applyBorder="1" applyAlignment="1">
      <alignment horizontal="center" vertical="center" wrapText="1" readingOrder="2"/>
    </xf>
    <xf numFmtId="3" fontId="17" fillId="0" borderId="28" xfId="0" applyNumberFormat="1" applyFont="1" applyBorder="1" applyAlignment="1">
      <alignment horizontal="center" vertical="center" wrapText="1" readingOrder="2"/>
    </xf>
    <xf numFmtId="3" fontId="17" fillId="0" borderId="6" xfId="0" applyNumberFormat="1" applyFont="1" applyBorder="1" applyAlignment="1">
      <alignment horizontal="center" vertical="center" wrapText="1" readingOrder="2"/>
    </xf>
    <xf numFmtId="0" fontId="17" fillId="2" borderId="28" xfId="0" applyFont="1" applyFill="1" applyBorder="1" applyAlignment="1">
      <alignment horizontal="center" vertical="center" wrapText="1" readingOrder="2"/>
    </xf>
    <xf numFmtId="0" fontId="17" fillId="2" borderId="6" xfId="0" applyFont="1" applyFill="1" applyBorder="1" applyAlignment="1">
      <alignment horizontal="center" vertical="center" wrapText="1" readingOrder="2"/>
    </xf>
    <xf numFmtId="3" fontId="17" fillId="0" borderId="13" xfId="0" applyNumberFormat="1" applyFont="1" applyBorder="1" applyAlignment="1">
      <alignment horizontal="center" vertical="center" wrapText="1" readingOrder="2"/>
    </xf>
    <xf numFmtId="3" fontId="17" fillId="0" borderId="15" xfId="0" applyNumberFormat="1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textRotation="90" wrapText="1" readingOrder="2"/>
    </xf>
    <xf numFmtId="0" fontId="13" fillId="0" borderId="3" xfId="0" applyFont="1" applyBorder="1" applyAlignment="1">
      <alignment horizontal="center" vertical="center" textRotation="90" wrapText="1" readingOrder="2"/>
    </xf>
    <xf numFmtId="0" fontId="20" fillId="0" borderId="2" xfId="0" applyFont="1" applyBorder="1" applyAlignment="1">
      <alignment horizontal="center" vertical="center" wrapText="1" readingOrder="2"/>
    </xf>
    <xf numFmtId="0" fontId="12" fillId="0" borderId="27" xfId="0" applyFont="1" applyBorder="1" applyAlignment="1">
      <alignment horizontal="center" vertical="center" wrapText="1" readingOrder="2"/>
    </xf>
    <xf numFmtId="0" fontId="12" fillId="0" borderId="16" xfId="0" applyFont="1" applyBorder="1" applyAlignment="1">
      <alignment horizontal="center" vertical="center" wrapText="1" readingOrder="2"/>
    </xf>
    <xf numFmtId="0" fontId="9" fillId="0" borderId="17" xfId="0" applyFont="1" applyBorder="1" applyAlignment="1">
      <alignment horizontal="center" wrapText="1"/>
    </xf>
    <xf numFmtId="0" fontId="9" fillId="0" borderId="1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8" fillId="0" borderId="31" xfId="0" applyFont="1" applyBorder="1" applyAlignment="1">
      <alignment horizontal="center" vertical="center" wrapText="1" readingOrder="2"/>
    </xf>
    <xf numFmtId="0" fontId="18" fillId="0" borderId="11" xfId="0" applyFont="1" applyBorder="1" applyAlignment="1">
      <alignment horizontal="center" vertical="center" wrapText="1" readingOrder="2"/>
    </xf>
    <xf numFmtId="0" fontId="34" fillId="0" borderId="31" xfId="0" quotePrefix="1" applyFont="1" applyBorder="1" applyAlignment="1">
      <alignment horizontal="center" vertical="center" wrapText="1"/>
    </xf>
    <xf numFmtId="0" fontId="34" fillId="0" borderId="11" xfId="0" quotePrefix="1" applyFont="1" applyBorder="1" applyAlignment="1">
      <alignment horizontal="center" vertical="center" wrapText="1"/>
    </xf>
    <xf numFmtId="0" fontId="34" fillId="0" borderId="23" xfId="0" quotePrefix="1" applyFont="1" applyBorder="1" applyAlignment="1">
      <alignment horizontal="center" vertical="center" wrapText="1"/>
    </xf>
    <xf numFmtId="0" fontId="34" fillId="0" borderId="0" xfId="0" quotePrefix="1" applyFont="1" applyAlignment="1">
      <alignment horizontal="center" vertical="center" wrapText="1"/>
    </xf>
    <xf numFmtId="0" fontId="23" fillId="0" borderId="11" xfId="0" quotePrefix="1" applyFont="1" applyBorder="1" applyAlignment="1">
      <alignment horizontal="center" vertical="center" wrapText="1"/>
    </xf>
    <xf numFmtId="0" fontId="23" fillId="0" borderId="0" xfId="0" quotePrefix="1" applyFont="1" applyAlignment="1">
      <alignment horizontal="center" vertical="center" wrapText="1"/>
    </xf>
    <xf numFmtId="0" fontId="18" fillId="0" borderId="32" xfId="0" quotePrefix="1" applyFont="1" applyBorder="1" applyAlignment="1">
      <alignment horizontal="center" vertical="center"/>
    </xf>
    <xf numFmtId="0" fontId="18" fillId="0" borderId="33" xfId="0" quotePrefix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 readingOrder="2"/>
    </xf>
    <xf numFmtId="0" fontId="18" fillId="0" borderId="0" xfId="0" applyFont="1" applyAlignment="1">
      <alignment horizontal="center" vertical="center" wrapText="1" readingOrder="2"/>
    </xf>
    <xf numFmtId="0" fontId="18" fillId="0" borderId="25" xfId="0" applyFont="1" applyBorder="1" applyAlignment="1">
      <alignment horizontal="center" vertical="center" wrapText="1" readingOrder="2"/>
    </xf>
    <xf numFmtId="0" fontId="18" fillId="0" borderId="21" xfId="0" applyFont="1" applyBorder="1" applyAlignment="1">
      <alignment horizontal="center" vertical="center" wrapText="1" readingOrder="2"/>
    </xf>
    <xf numFmtId="0" fontId="23" fillId="0" borderId="25" xfId="0" applyFont="1" applyBorder="1" applyAlignment="1">
      <alignment horizontal="center" vertical="center" readingOrder="2"/>
    </xf>
    <xf numFmtId="0" fontId="23" fillId="0" borderId="21" xfId="0" applyFont="1" applyBorder="1" applyAlignment="1">
      <alignment horizontal="center" vertical="center" readingOrder="2"/>
    </xf>
    <xf numFmtId="0" fontId="22" fillId="2" borderId="10" xfId="0" quotePrefix="1" applyFont="1" applyFill="1" applyBorder="1" applyAlignment="1">
      <alignment horizontal="center" vertical="center" wrapText="1" readingOrder="2"/>
    </xf>
    <xf numFmtId="0" fontId="22" fillId="2" borderId="9" xfId="0" quotePrefix="1" applyFont="1" applyFill="1" applyBorder="1" applyAlignment="1">
      <alignment horizontal="center" vertical="center" wrapText="1" readingOrder="2"/>
    </xf>
    <xf numFmtId="0" fontId="22" fillId="2" borderId="20" xfId="0" quotePrefix="1" applyFont="1" applyFill="1" applyBorder="1" applyAlignment="1">
      <alignment horizontal="center" vertical="center" wrapText="1" readingOrder="2"/>
    </xf>
    <xf numFmtId="0" fontId="22" fillId="2" borderId="23" xfId="0" quotePrefix="1" applyFont="1" applyFill="1" applyBorder="1" applyAlignment="1">
      <alignment horizontal="center" vertical="center" wrapText="1" readingOrder="2"/>
    </xf>
    <xf numFmtId="0" fontId="22" fillId="2" borderId="0" xfId="0" quotePrefix="1" applyFont="1" applyFill="1" applyAlignment="1">
      <alignment horizontal="center" vertical="center" wrapText="1" readingOrder="2"/>
    </xf>
    <xf numFmtId="0" fontId="22" fillId="2" borderId="24" xfId="0" quotePrefix="1" applyFont="1" applyFill="1" applyBorder="1" applyAlignment="1">
      <alignment horizontal="center" vertical="center" wrapText="1" readingOrder="2"/>
    </xf>
    <xf numFmtId="0" fontId="22" fillId="2" borderId="25" xfId="0" quotePrefix="1" applyFont="1" applyFill="1" applyBorder="1" applyAlignment="1">
      <alignment horizontal="center" vertical="center" wrapText="1" readingOrder="2"/>
    </xf>
    <xf numFmtId="0" fontId="22" fillId="2" borderId="21" xfId="0" quotePrefix="1" applyFont="1" applyFill="1" applyBorder="1" applyAlignment="1">
      <alignment horizontal="center" vertical="center" wrapText="1" readingOrder="2"/>
    </xf>
    <xf numFmtId="0" fontId="22" fillId="2" borderId="26" xfId="0" quotePrefix="1" applyFont="1" applyFill="1" applyBorder="1" applyAlignment="1">
      <alignment horizontal="center" vertical="center" wrapText="1" readingOrder="2"/>
    </xf>
    <xf numFmtId="0" fontId="18" fillId="2" borderId="10" xfId="0" quotePrefix="1" applyFont="1" applyFill="1" applyBorder="1" applyAlignment="1">
      <alignment horizontal="center" vertical="center" wrapText="1" readingOrder="2"/>
    </xf>
    <xf numFmtId="0" fontId="18" fillId="2" borderId="9" xfId="0" quotePrefix="1" applyFont="1" applyFill="1" applyBorder="1" applyAlignment="1">
      <alignment horizontal="center" vertical="center" wrapText="1" readingOrder="2"/>
    </xf>
    <xf numFmtId="0" fontId="18" fillId="2" borderId="20" xfId="0" quotePrefix="1" applyFont="1" applyFill="1" applyBorder="1" applyAlignment="1">
      <alignment horizontal="center" vertical="center" wrapText="1" readingOrder="2"/>
    </xf>
    <xf numFmtId="0" fontId="18" fillId="2" borderId="23" xfId="0" quotePrefix="1" applyFont="1" applyFill="1" applyBorder="1" applyAlignment="1">
      <alignment horizontal="center" vertical="center" wrapText="1" readingOrder="2"/>
    </xf>
    <xf numFmtId="0" fontId="18" fillId="2" borderId="0" xfId="0" quotePrefix="1" applyFont="1" applyFill="1" applyAlignment="1">
      <alignment horizontal="center" vertical="center" wrapText="1" readingOrder="2"/>
    </xf>
    <xf numFmtId="0" fontId="18" fillId="2" borderId="24" xfId="0" quotePrefix="1" applyFont="1" applyFill="1" applyBorder="1" applyAlignment="1">
      <alignment horizontal="center" vertical="center" wrapText="1" readingOrder="2"/>
    </xf>
    <xf numFmtId="0" fontId="18" fillId="2" borderId="25" xfId="0" quotePrefix="1" applyFont="1" applyFill="1" applyBorder="1" applyAlignment="1">
      <alignment horizontal="center" vertical="center" wrapText="1" readingOrder="2"/>
    </xf>
    <xf numFmtId="0" fontId="18" fillId="2" borderId="21" xfId="0" quotePrefix="1" applyFont="1" applyFill="1" applyBorder="1" applyAlignment="1">
      <alignment horizontal="center" vertical="center" wrapText="1" readingOrder="2"/>
    </xf>
    <xf numFmtId="0" fontId="18" fillId="2" borderId="26" xfId="0" quotePrefix="1" applyFont="1" applyFill="1" applyBorder="1" applyAlignment="1">
      <alignment horizontal="center" vertical="center" wrapText="1" readingOrder="2"/>
    </xf>
    <xf numFmtId="0" fontId="18" fillId="2" borderId="10" xfId="0" quotePrefix="1" applyFont="1" applyFill="1" applyBorder="1" applyAlignment="1">
      <alignment horizontal="center" vertical="center" wrapText="1"/>
    </xf>
    <xf numFmtId="0" fontId="18" fillId="2" borderId="9" xfId="0" quotePrefix="1" applyFont="1" applyFill="1" applyBorder="1" applyAlignment="1">
      <alignment horizontal="center" vertical="center" wrapText="1"/>
    </xf>
    <xf numFmtId="0" fontId="18" fillId="2" borderId="20" xfId="0" quotePrefix="1" applyFont="1" applyFill="1" applyBorder="1" applyAlignment="1">
      <alignment horizontal="center" vertical="center" wrapText="1"/>
    </xf>
    <xf numFmtId="0" fontId="18" fillId="2" borderId="25" xfId="0" quotePrefix="1" applyFont="1" applyFill="1" applyBorder="1" applyAlignment="1">
      <alignment horizontal="center" vertical="center" wrapText="1"/>
    </xf>
    <xf numFmtId="0" fontId="18" fillId="2" borderId="21" xfId="0" quotePrefix="1" applyFont="1" applyFill="1" applyBorder="1" applyAlignment="1">
      <alignment horizontal="center" vertical="center" wrapText="1"/>
    </xf>
    <xf numFmtId="0" fontId="18" fillId="2" borderId="26" xfId="0" quotePrefix="1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48" fillId="2" borderId="10" xfId="0" applyFont="1" applyFill="1" applyBorder="1" applyAlignment="1">
      <alignment horizontal="center" vertical="center" wrapText="1"/>
    </xf>
    <xf numFmtId="0" fontId="48" fillId="2" borderId="9" xfId="0" applyFont="1" applyFill="1" applyBorder="1" applyAlignment="1">
      <alignment horizontal="center" vertical="center" wrapText="1"/>
    </xf>
    <xf numFmtId="0" fontId="48" fillId="2" borderId="20" xfId="0" applyFont="1" applyFill="1" applyBorder="1" applyAlignment="1">
      <alignment horizontal="center" vertical="center" wrapText="1"/>
    </xf>
    <xf numFmtId="0" fontId="48" fillId="2" borderId="23" xfId="0" applyFont="1" applyFill="1" applyBorder="1" applyAlignment="1">
      <alignment horizontal="center" vertical="center" wrapText="1"/>
    </xf>
    <xf numFmtId="0" fontId="48" fillId="2" borderId="0" xfId="0" applyFont="1" applyFill="1" applyAlignment="1">
      <alignment horizontal="center" vertical="center" wrapText="1"/>
    </xf>
    <xf numFmtId="0" fontId="48" fillId="2" borderId="24" xfId="0" applyFont="1" applyFill="1" applyBorder="1" applyAlignment="1">
      <alignment horizontal="center" vertical="center" wrapText="1"/>
    </xf>
    <xf numFmtId="0" fontId="48" fillId="2" borderId="25" xfId="0" applyFont="1" applyFill="1" applyBorder="1" applyAlignment="1">
      <alignment horizontal="center" vertical="center" wrapText="1"/>
    </xf>
    <xf numFmtId="0" fontId="48" fillId="2" borderId="21" xfId="0" applyFont="1" applyFill="1" applyBorder="1" applyAlignment="1">
      <alignment horizontal="center" vertical="center" wrapText="1"/>
    </xf>
    <xf numFmtId="0" fontId="48" fillId="2" borderId="26" xfId="0" applyFont="1" applyFill="1" applyBorder="1" applyAlignment="1">
      <alignment horizontal="center" vertical="center" wrapText="1"/>
    </xf>
    <xf numFmtId="38" fontId="39" fillId="2" borderId="8" xfId="0" applyNumberFormat="1" applyFont="1" applyFill="1" applyBorder="1" applyAlignment="1">
      <alignment horizontal="center" vertical="center" wrapText="1" readingOrder="2"/>
    </xf>
    <xf numFmtId="38" fontId="39" fillId="2" borderId="5" xfId="0" applyNumberFormat="1" applyFont="1" applyFill="1" applyBorder="1" applyAlignment="1">
      <alignment horizontal="center" vertical="center" wrapText="1" readingOrder="2"/>
    </xf>
    <xf numFmtId="38" fontId="34" fillId="2" borderId="3" xfId="0" applyNumberFormat="1" applyFont="1" applyFill="1" applyBorder="1" applyAlignment="1">
      <alignment horizontal="center" vertical="center" wrapText="1" readingOrder="2"/>
    </xf>
    <xf numFmtId="38" fontId="34" fillId="2" borderId="28" xfId="0" applyNumberFormat="1" applyFont="1" applyFill="1" applyBorder="1" applyAlignment="1">
      <alignment horizontal="center" vertical="center" wrapText="1" readingOrder="2"/>
    </xf>
    <xf numFmtId="38" fontId="34" fillId="2" borderId="6" xfId="0" applyNumberFormat="1" applyFont="1" applyFill="1" applyBorder="1" applyAlignment="1">
      <alignment horizontal="center" vertical="center" wrapText="1" readingOrder="2"/>
    </xf>
    <xf numFmtId="0" fontId="49" fillId="2" borderId="10" xfId="0" applyFont="1" applyFill="1" applyBorder="1" applyAlignment="1">
      <alignment horizontal="center" vertical="center" wrapText="1"/>
    </xf>
    <xf numFmtId="0" fontId="49" fillId="2" borderId="9" xfId="0" applyFont="1" applyFill="1" applyBorder="1" applyAlignment="1">
      <alignment horizontal="center" vertical="center" wrapText="1"/>
    </xf>
    <xf numFmtId="0" fontId="49" fillId="2" borderId="20" xfId="0" applyFont="1" applyFill="1" applyBorder="1" applyAlignment="1">
      <alignment horizontal="center" vertical="center" wrapText="1"/>
    </xf>
    <xf numFmtId="0" fontId="49" fillId="2" borderId="23" xfId="0" applyFont="1" applyFill="1" applyBorder="1" applyAlignment="1">
      <alignment horizontal="center" vertical="center" wrapText="1"/>
    </xf>
    <xf numFmtId="0" fontId="49" fillId="2" borderId="0" xfId="0" applyFont="1" applyFill="1" applyAlignment="1">
      <alignment horizontal="center" vertical="center" wrapText="1"/>
    </xf>
    <xf numFmtId="0" fontId="49" fillId="2" borderId="24" xfId="0" applyFont="1" applyFill="1" applyBorder="1" applyAlignment="1">
      <alignment horizontal="center" vertical="center" wrapText="1"/>
    </xf>
    <xf numFmtId="0" fontId="49" fillId="2" borderId="25" xfId="0" applyFont="1" applyFill="1" applyBorder="1" applyAlignment="1">
      <alignment horizontal="center" vertical="center" wrapText="1"/>
    </xf>
    <xf numFmtId="0" fontId="49" fillId="2" borderId="21" xfId="0" applyFont="1" applyFill="1" applyBorder="1" applyAlignment="1">
      <alignment horizontal="center" vertical="center" wrapText="1"/>
    </xf>
    <xf numFmtId="0" fontId="49" fillId="2" borderId="26" xfId="0" applyFont="1" applyFill="1" applyBorder="1" applyAlignment="1">
      <alignment horizontal="center" vertical="center" wrapText="1"/>
    </xf>
    <xf numFmtId="38" fontId="34" fillId="2" borderId="10" xfId="0" applyNumberFormat="1" applyFont="1" applyFill="1" applyBorder="1" applyAlignment="1">
      <alignment horizontal="center" vertical="center" wrapText="1" readingOrder="2"/>
    </xf>
    <xf numFmtId="38" fontId="34" fillId="2" borderId="20" xfId="0" applyNumberFormat="1" applyFont="1" applyFill="1" applyBorder="1" applyAlignment="1">
      <alignment horizontal="center" vertical="center" wrapText="1" readingOrder="2"/>
    </xf>
    <xf numFmtId="38" fontId="34" fillId="2" borderId="23" xfId="0" applyNumberFormat="1" applyFont="1" applyFill="1" applyBorder="1" applyAlignment="1">
      <alignment horizontal="center" vertical="center" wrapText="1" readingOrder="2"/>
    </xf>
    <xf numFmtId="38" fontId="34" fillId="2" borderId="24" xfId="0" applyNumberFormat="1" applyFont="1" applyFill="1" applyBorder="1" applyAlignment="1">
      <alignment horizontal="center" vertical="center" wrapText="1" readingOrder="2"/>
    </xf>
    <xf numFmtId="38" fontId="34" fillId="2" borderId="25" xfId="0" applyNumberFormat="1" applyFont="1" applyFill="1" applyBorder="1" applyAlignment="1">
      <alignment horizontal="center" vertical="center" wrapText="1" readingOrder="2"/>
    </xf>
    <xf numFmtId="38" fontId="34" fillId="2" borderId="26" xfId="0" applyNumberFormat="1" applyFont="1" applyFill="1" applyBorder="1" applyAlignment="1">
      <alignment horizontal="center" vertical="center" wrapText="1" readingOrder="2"/>
    </xf>
    <xf numFmtId="38" fontId="34" fillId="2" borderId="22" xfId="0" applyNumberFormat="1" applyFont="1" applyFill="1" applyBorder="1" applyAlignment="1">
      <alignment horizontal="center" vertical="center" wrapText="1" readingOrder="2"/>
    </xf>
    <xf numFmtId="38" fontId="34" fillId="0" borderId="10" xfId="0" applyNumberFormat="1" applyFont="1" applyBorder="1" applyAlignment="1">
      <alignment horizontal="center" vertical="center" wrapText="1" readingOrder="2"/>
    </xf>
    <xf numFmtId="38" fontId="34" fillId="0" borderId="20" xfId="0" applyNumberFormat="1" applyFont="1" applyBorder="1" applyAlignment="1">
      <alignment horizontal="center" vertical="center" wrapText="1" readingOrder="2"/>
    </xf>
    <xf numFmtId="38" fontId="34" fillId="0" borderId="23" xfId="0" applyNumberFormat="1" applyFont="1" applyBorder="1" applyAlignment="1">
      <alignment horizontal="center" vertical="center" wrapText="1" readingOrder="2"/>
    </xf>
    <xf numFmtId="38" fontId="34" fillId="0" borderId="24" xfId="0" applyNumberFormat="1" applyFont="1" applyBorder="1" applyAlignment="1">
      <alignment horizontal="center" vertical="center" wrapText="1" readingOrder="2"/>
    </xf>
    <xf numFmtId="38" fontId="34" fillId="0" borderId="25" xfId="0" applyNumberFormat="1" applyFont="1" applyBorder="1" applyAlignment="1">
      <alignment horizontal="center" vertical="center" wrapText="1" readingOrder="2"/>
    </xf>
    <xf numFmtId="38" fontId="34" fillId="0" borderId="26" xfId="0" applyNumberFormat="1" applyFont="1" applyBorder="1" applyAlignment="1">
      <alignment horizontal="center" vertical="center" wrapText="1" readingOrder="2"/>
    </xf>
    <xf numFmtId="38" fontId="34" fillId="0" borderId="8" xfId="0" applyNumberFormat="1" applyFont="1" applyBorder="1" applyAlignment="1">
      <alignment horizontal="center" vertical="center" wrapText="1" readingOrder="2"/>
    </xf>
    <xf numFmtId="38" fontId="34" fillId="0" borderId="5" xfId="0" applyNumberFormat="1" applyFont="1" applyBorder="1" applyAlignment="1">
      <alignment horizontal="center" vertical="center" wrapText="1" readingOrder="2"/>
    </xf>
    <xf numFmtId="0" fontId="43" fillId="2" borderId="10" xfId="0" quotePrefix="1" applyFont="1" applyFill="1" applyBorder="1" applyAlignment="1">
      <alignment horizontal="center" vertical="center" wrapText="1"/>
    </xf>
    <xf numFmtId="0" fontId="43" fillId="2" borderId="9" xfId="0" quotePrefix="1" applyFont="1" applyFill="1" applyBorder="1" applyAlignment="1">
      <alignment horizontal="center" vertical="center" wrapText="1"/>
    </xf>
    <xf numFmtId="0" fontId="43" fillId="2" borderId="20" xfId="0" quotePrefix="1" applyFont="1" applyFill="1" applyBorder="1" applyAlignment="1">
      <alignment horizontal="center" vertical="center" wrapText="1"/>
    </xf>
    <xf numFmtId="0" fontId="43" fillId="2" borderId="23" xfId="0" quotePrefix="1" applyFont="1" applyFill="1" applyBorder="1" applyAlignment="1">
      <alignment horizontal="center" vertical="center" wrapText="1"/>
    </xf>
    <xf numFmtId="0" fontId="43" fillId="2" borderId="0" xfId="0" quotePrefix="1" applyFont="1" applyFill="1" applyAlignment="1">
      <alignment horizontal="center" vertical="center" wrapText="1"/>
    </xf>
    <xf numFmtId="0" fontId="43" fillId="2" borderId="24" xfId="0" quotePrefix="1" applyFont="1" applyFill="1" applyBorder="1" applyAlignment="1">
      <alignment horizontal="center" vertical="center" wrapText="1"/>
    </xf>
    <xf numFmtId="0" fontId="43" fillId="2" borderId="25" xfId="0" quotePrefix="1" applyFont="1" applyFill="1" applyBorder="1" applyAlignment="1">
      <alignment horizontal="center" vertical="center" wrapText="1"/>
    </xf>
    <xf numFmtId="0" fontId="43" fillId="2" borderId="21" xfId="0" quotePrefix="1" applyFont="1" applyFill="1" applyBorder="1" applyAlignment="1">
      <alignment horizontal="center" vertical="center" wrapText="1"/>
    </xf>
    <xf numFmtId="0" fontId="43" fillId="2" borderId="26" xfId="0" quotePrefix="1" applyFont="1" applyFill="1" applyBorder="1" applyAlignment="1">
      <alignment horizontal="center" vertical="center" wrapText="1"/>
    </xf>
    <xf numFmtId="0" fontId="40" fillId="2" borderId="10" xfId="0" quotePrefix="1" applyFont="1" applyFill="1" applyBorder="1" applyAlignment="1">
      <alignment horizontal="center" vertical="center" wrapText="1" readingOrder="2"/>
    </xf>
    <xf numFmtId="0" fontId="40" fillId="2" borderId="9" xfId="0" quotePrefix="1" applyFont="1" applyFill="1" applyBorder="1" applyAlignment="1">
      <alignment horizontal="center" vertical="center" wrapText="1" readingOrder="2"/>
    </xf>
    <xf numFmtId="0" fontId="40" fillId="2" borderId="20" xfId="0" quotePrefix="1" applyFont="1" applyFill="1" applyBorder="1" applyAlignment="1">
      <alignment horizontal="center" vertical="center" wrapText="1" readingOrder="2"/>
    </xf>
    <xf numFmtId="0" fontId="40" fillId="2" borderId="25" xfId="0" quotePrefix="1" applyFont="1" applyFill="1" applyBorder="1" applyAlignment="1">
      <alignment horizontal="center" vertical="center" wrapText="1" readingOrder="2"/>
    </xf>
    <xf numFmtId="0" fontId="40" fillId="2" borderId="21" xfId="0" quotePrefix="1" applyFont="1" applyFill="1" applyBorder="1" applyAlignment="1">
      <alignment horizontal="center" vertical="center" wrapText="1" readingOrder="2"/>
    </xf>
    <xf numFmtId="0" fontId="40" fillId="2" borderId="26" xfId="0" quotePrefix="1" applyFont="1" applyFill="1" applyBorder="1" applyAlignment="1">
      <alignment horizontal="center" vertical="center" wrapText="1" readingOrder="2"/>
    </xf>
    <xf numFmtId="0" fontId="30" fillId="2" borderId="10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30" fillId="2" borderId="25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right" vertical="center"/>
    </xf>
    <xf numFmtId="0" fontId="23" fillId="0" borderId="14" xfId="0" applyFont="1" applyBorder="1" applyAlignment="1">
      <alignment horizontal="right" vertical="center"/>
    </xf>
    <xf numFmtId="0" fontId="30" fillId="2" borderId="10" xfId="0" quotePrefix="1" applyFont="1" applyFill="1" applyBorder="1" applyAlignment="1">
      <alignment horizontal="center" vertical="center" wrapText="1"/>
    </xf>
    <xf numFmtId="0" fontId="30" fillId="2" borderId="9" xfId="0" quotePrefix="1" applyFont="1" applyFill="1" applyBorder="1" applyAlignment="1">
      <alignment horizontal="center" vertical="center" wrapText="1"/>
    </xf>
    <xf numFmtId="0" fontId="30" fillId="2" borderId="20" xfId="0" quotePrefix="1" applyFont="1" applyFill="1" applyBorder="1" applyAlignment="1">
      <alignment horizontal="center" vertical="center" wrapText="1"/>
    </xf>
    <xf numFmtId="0" fontId="30" fillId="2" borderId="23" xfId="0" quotePrefix="1" applyFont="1" applyFill="1" applyBorder="1" applyAlignment="1">
      <alignment horizontal="center" vertical="center" wrapText="1"/>
    </xf>
    <xf numFmtId="0" fontId="30" fillId="2" borderId="0" xfId="0" quotePrefix="1" applyFont="1" applyFill="1" applyAlignment="1">
      <alignment horizontal="center" vertical="center" wrapText="1"/>
    </xf>
    <xf numFmtId="0" fontId="30" fillId="2" borderId="24" xfId="0" quotePrefix="1" applyFont="1" applyFill="1" applyBorder="1" applyAlignment="1">
      <alignment horizontal="center" vertical="center" wrapText="1"/>
    </xf>
    <xf numFmtId="0" fontId="30" fillId="2" borderId="25" xfId="0" quotePrefix="1" applyFont="1" applyFill="1" applyBorder="1" applyAlignment="1">
      <alignment horizontal="center" vertical="center" wrapText="1"/>
    </xf>
    <xf numFmtId="0" fontId="30" fillId="2" borderId="21" xfId="0" quotePrefix="1" applyFont="1" applyFill="1" applyBorder="1" applyAlignment="1">
      <alignment horizontal="center" vertical="center" wrapText="1"/>
    </xf>
    <xf numFmtId="0" fontId="30" fillId="2" borderId="26" xfId="0" quotePrefix="1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 wrapText="1" readingOrder="2"/>
    </xf>
    <xf numFmtId="0" fontId="15" fillId="0" borderId="3" xfId="0" applyFont="1" applyBorder="1" applyAlignment="1">
      <alignment horizontal="center" vertical="center" wrapText="1" readingOrder="2"/>
    </xf>
    <xf numFmtId="0" fontId="15" fillId="0" borderId="10" xfId="0" applyFont="1" applyBorder="1" applyAlignment="1">
      <alignment horizontal="center" vertical="center" wrapText="1" readingOrder="2"/>
    </xf>
    <xf numFmtId="0" fontId="15" fillId="0" borderId="9" xfId="0" applyFont="1" applyBorder="1" applyAlignment="1">
      <alignment horizontal="center" vertical="center" wrapText="1" readingOrder="2"/>
    </xf>
    <xf numFmtId="0" fontId="15" fillId="0" borderId="25" xfId="0" applyFont="1" applyBorder="1" applyAlignment="1">
      <alignment horizontal="center" vertical="center" wrapText="1" readingOrder="2"/>
    </xf>
    <xf numFmtId="0" fontId="15" fillId="0" borderId="21" xfId="0" applyFont="1" applyBorder="1" applyAlignment="1">
      <alignment horizontal="center" vertical="center" wrapText="1" readingOrder="2"/>
    </xf>
    <xf numFmtId="3" fontId="15" fillId="0" borderId="28" xfId="0" applyNumberFormat="1" applyFont="1" applyBorder="1" applyAlignment="1">
      <alignment horizontal="center" vertical="center" wrapText="1" readingOrder="2"/>
    </xf>
    <xf numFmtId="3" fontId="15" fillId="0" borderId="6" xfId="0" applyNumberFormat="1" applyFont="1" applyBorder="1" applyAlignment="1">
      <alignment horizontal="center" vertical="center" wrapText="1" readingOrder="2"/>
    </xf>
    <xf numFmtId="0" fontId="15" fillId="2" borderId="28" xfId="0" applyFont="1" applyFill="1" applyBorder="1" applyAlignment="1">
      <alignment horizontal="center" vertical="center" wrapText="1" readingOrder="2"/>
    </xf>
    <xf numFmtId="0" fontId="15" fillId="2" borderId="6" xfId="0" applyFont="1" applyFill="1" applyBorder="1" applyAlignment="1">
      <alignment horizontal="center" vertical="center" wrapText="1" readingOrder="2"/>
    </xf>
    <xf numFmtId="0" fontId="32" fillId="0" borderId="32" xfId="0" quotePrefix="1" applyFont="1" applyBorder="1" applyAlignment="1">
      <alignment horizontal="center" vertical="center"/>
    </xf>
    <xf numFmtId="0" fontId="32" fillId="0" borderId="33" xfId="0" quotePrefix="1" applyFont="1" applyBorder="1" applyAlignment="1">
      <alignment horizontal="center" vertical="center"/>
    </xf>
    <xf numFmtId="0" fontId="50" fillId="2" borderId="10" xfId="0" quotePrefix="1" applyFont="1" applyFill="1" applyBorder="1" applyAlignment="1">
      <alignment horizontal="center" vertical="center" wrapText="1"/>
    </xf>
    <xf numFmtId="0" fontId="50" fillId="2" borderId="9" xfId="0" quotePrefix="1" applyFont="1" applyFill="1" applyBorder="1" applyAlignment="1">
      <alignment horizontal="center" vertical="center" wrapText="1"/>
    </xf>
    <xf numFmtId="0" fontId="50" fillId="2" borderId="20" xfId="0" quotePrefix="1" applyFont="1" applyFill="1" applyBorder="1" applyAlignment="1">
      <alignment horizontal="center" vertical="center" wrapText="1"/>
    </xf>
    <xf numFmtId="0" fontId="50" fillId="2" borderId="25" xfId="0" quotePrefix="1" applyFont="1" applyFill="1" applyBorder="1" applyAlignment="1">
      <alignment horizontal="center" vertical="center" wrapText="1"/>
    </xf>
    <xf numFmtId="0" fontId="50" fillId="2" borderId="21" xfId="0" quotePrefix="1" applyFont="1" applyFill="1" applyBorder="1" applyAlignment="1">
      <alignment horizontal="center" vertical="center" wrapText="1"/>
    </xf>
    <xf numFmtId="0" fontId="50" fillId="2" borderId="26" xfId="0" quotePrefix="1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 readingOrder="2"/>
    </xf>
    <xf numFmtId="0" fontId="10" fillId="0" borderId="16" xfId="0" applyFont="1" applyBorder="1" applyAlignment="1">
      <alignment horizontal="center" vertical="center" wrapText="1" readingOrder="2"/>
    </xf>
    <xf numFmtId="38" fontId="16" fillId="2" borderId="23" xfId="0" applyNumberFormat="1" applyFont="1" applyFill="1" applyBorder="1" applyAlignment="1">
      <alignment horizontal="center" vertical="center" wrapText="1" readingOrder="2"/>
    </xf>
    <xf numFmtId="0" fontId="23" fillId="2" borderId="10" xfId="0" applyFont="1" applyFill="1" applyBorder="1" applyAlignment="1">
      <alignment horizontal="center" vertical="center" wrapText="1" readingOrder="2"/>
    </xf>
    <xf numFmtId="0" fontId="23" fillId="2" borderId="9" xfId="0" applyFont="1" applyFill="1" applyBorder="1" applyAlignment="1">
      <alignment horizontal="center" vertical="center" wrapText="1" readingOrder="2"/>
    </xf>
    <xf numFmtId="0" fontId="23" fillId="2" borderId="20" xfId="0" applyFont="1" applyFill="1" applyBorder="1" applyAlignment="1">
      <alignment horizontal="center" vertical="center" wrapText="1" readingOrder="2"/>
    </xf>
    <xf numFmtId="0" fontId="21" fillId="0" borderId="2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28" xfId="0" quotePrefix="1" applyFont="1" applyBorder="1" applyAlignment="1">
      <alignment horizontal="center" vertical="center" wrapText="1" readingOrder="2"/>
    </xf>
    <xf numFmtId="0" fontId="21" fillId="0" borderId="6" xfId="0" quotePrefix="1" applyFont="1" applyBorder="1" applyAlignment="1">
      <alignment horizontal="center" vertical="center" wrapText="1" readingOrder="2"/>
    </xf>
    <xf numFmtId="0" fontId="14" fillId="0" borderId="28" xfId="0" applyFont="1" applyBorder="1" applyAlignment="1">
      <alignment horizontal="center" vertical="center" wrapText="1" readingOrder="2"/>
    </xf>
    <xf numFmtId="0" fontId="14" fillId="0" borderId="6" xfId="0" applyFont="1" applyBorder="1" applyAlignment="1">
      <alignment horizontal="center" vertical="center" wrapText="1" readingOrder="2"/>
    </xf>
    <xf numFmtId="0" fontId="35" fillId="0" borderId="28" xfId="0" applyFont="1" applyBorder="1" applyAlignment="1">
      <alignment horizontal="center" vertical="center" wrapText="1" readingOrder="2"/>
    </xf>
    <xf numFmtId="0" fontId="35" fillId="0" borderId="6" xfId="0" applyFont="1" applyBorder="1" applyAlignment="1">
      <alignment horizontal="center" vertical="center" wrapText="1" readingOrder="2"/>
    </xf>
    <xf numFmtId="3" fontId="25" fillId="2" borderId="28" xfId="0" applyNumberFormat="1" applyFont="1" applyFill="1" applyBorder="1" applyAlignment="1">
      <alignment horizontal="center" vertical="center" wrapText="1" readingOrder="2"/>
    </xf>
    <xf numFmtId="3" fontId="25" fillId="2" borderId="22" xfId="0" applyNumberFormat="1" applyFont="1" applyFill="1" applyBorder="1" applyAlignment="1">
      <alignment horizontal="center" vertical="center" wrapText="1" readingOrder="2"/>
    </xf>
    <xf numFmtId="3" fontId="25" fillId="2" borderId="6" xfId="0" applyNumberFormat="1" applyFont="1" applyFill="1" applyBorder="1" applyAlignment="1">
      <alignment horizontal="center" vertical="center" wrapText="1" readingOrder="2"/>
    </xf>
    <xf numFmtId="38" fontId="34" fillId="2" borderId="13" xfId="0" applyNumberFormat="1" applyFont="1" applyFill="1" applyBorder="1" applyAlignment="1">
      <alignment horizontal="center" vertical="center" wrapText="1" readingOrder="2"/>
    </xf>
    <xf numFmtId="38" fontId="34" fillId="2" borderId="29" xfId="0" applyNumberFormat="1" applyFont="1" applyFill="1" applyBorder="1" applyAlignment="1">
      <alignment horizontal="center" vertical="center" wrapText="1" readingOrder="2"/>
    </xf>
    <xf numFmtId="38" fontId="34" fillId="2" borderId="15" xfId="0" applyNumberFormat="1" applyFont="1" applyFill="1" applyBorder="1" applyAlignment="1">
      <alignment horizontal="center" vertical="center" wrapText="1" readingOrder="2"/>
    </xf>
    <xf numFmtId="3" fontId="15" fillId="0" borderId="13" xfId="0" applyNumberFormat="1" applyFont="1" applyBorder="1" applyAlignment="1">
      <alignment horizontal="center" vertical="center" wrapText="1" readingOrder="2"/>
    </xf>
    <xf numFmtId="3" fontId="15" fillId="0" borderId="15" xfId="0" applyNumberFormat="1" applyFont="1" applyBorder="1" applyAlignment="1">
      <alignment horizontal="center" vertical="center" wrapText="1" readingOrder="2"/>
    </xf>
    <xf numFmtId="0" fontId="23" fillId="0" borderId="27" xfId="0" applyFont="1" applyBorder="1" applyAlignment="1">
      <alignment horizontal="center" vertical="center" wrapText="1" readingOrder="2"/>
    </xf>
    <xf numFmtId="0" fontId="23" fillId="0" borderId="16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right" vertical="top"/>
    </xf>
    <xf numFmtId="0" fontId="23" fillId="0" borderId="1" xfId="0" applyFont="1" applyBorder="1" applyAlignment="1">
      <alignment horizontal="right" vertical="top"/>
    </xf>
    <xf numFmtId="0" fontId="23" fillId="0" borderId="7" xfId="0" applyFont="1" applyBorder="1" applyAlignment="1">
      <alignment horizontal="right" vertical="top"/>
    </xf>
    <xf numFmtId="0" fontId="23" fillId="0" borderId="12" xfId="0" applyFont="1" applyBorder="1" applyAlignment="1">
      <alignment horizontal="right" vertical="top"/>
    </xf>
    <xf numFmtId="0" fontId="25" fillId="3" borderId="4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53" fillId="0" borderId="31" xfId="0" quotePrefix="1" applyFont="1" applyBorder="1" applyAlignment="1">
      <alignment horizontal="center" vertical="center" wrapText="1"/>
    </xf>
    <xf numFmtId="0" fontId="53" fillId="0" borderId="23" xfId="0" quotePrefix="1" applyFont="1" applyBorder="1" applyAlignment="1">
      <alignment horizontal="center" vertical="center" wrapText="1"/>
    </xf>
    <xf numFmtId="0" fontId="34" fillId="0" borderId="11" xfId="0" quotePrefix="1" applyFont="1" applyBorder="1" applyAlignment="1">
      <alignment horizontal="center" vertical="center"/>
    </xf>
    <xf numFmtId="0" fontId="34" fillId="0" borderId="32" xfId="0" quotePrefix="1" applyFont="1" applyBorder="1" applyAlignment="1">
      <alignment horizontal="center" vertical="center"/>
    </xf>
    <xf numFmtId="0" fontId="34" fillId="0" borderId="0" xfId="0" quotePrefix="1" applyFont="1" applyAlignment="1">
      <alignment horizontal="center" vertical="center"/>
    </xf>
    <xf numFmtId="0" fontId="34" fillId="0" borderId="33" xfId="0" quotePrefix="1" applyFont="1" applyBorder="1" applyAlignment="1">
      <alignment horizontal="center" vertical="center"/>
    </xf>
    <xf numFmtId="0" fontId="54" fillId="2" borderId="10" xfId="0" quotePrefix="1" applyFont="1" applyFill="1" applyBorder="1" applyAlignment="1">
      <alignment horizontal="center" vertical="center" wrapText="1"/>
    </xf>
    <xf numFmtId="0" fontId="54" fillId="2" borderId="9" xfId="0" quotePrefix="1" applyFont="1" applyFill="1" applyBorder="1" applyAlignment="1">
      <alignment horizontal="center" vertical="center" wrapText="1"/>
    </xf>
    <xf numFmtId="0" fontId="54" fillId="2" borderId="20" xfId="0" quotePrefix="1" applyFont="1" applyFill="1" applyBorder="1" applyAlignment="1">
      <alignment horizontal="center" vertical="center" wrapText="1"/>
    </xf>
    <xf numFmtId="0" fontId="54" fillId="2" borderId="23" xfId="0" quotePrefix="1" applyFont="1" applyFill="1" applyBorder="1" applyAlignment="1">
      <alignment horizontal="center" vertical="center" wrapText="1"/>
    </xf>
    <xf numFmtId="0" fontId="54" fillId="2" borderId="0" xfId="0" quotePrefix="1" applyFont="1" applyFill="1" applyAlignment="1">
      <alignment horizontal="center" vertical="center" wrapText="1"/>
    </xf>
    <xf numFmtId="0" fontId="54" fillId="2" borderId="24" xfId="0" quotePrefix="1" applyFont="1" applyFill="1" applyBorder="1" applyAlignment="1">
      <alignment horizontal="center" vertical="center" wrapText="1"/>
    </xf>
    <xf numFmtId="0" fontId="54" fillId="2" borderId="25" xfId="0" quotePrefix="1" applyFont="1" applyFill="1" applyBorder="1" applyAlignment="1">
      <alignment horizontal="center" vertical="center" wrapText="1"/>
    </xf>
    <xf numFmtId="0" fontId="54" fillId="2" borderId="21" xfId="0" quotePrefix="1" applyFont="1" applyFill="1" applyBorder="1" applyAlignment="1">
      <alignment horizontal="center" vertical="center" wrapText="1"/>
    </xf>
    <xf numFmtId="0" fontId="54" fillId="2" borderId="26" xfId="0" quotePrefix="1" applyFont="1" applyFill="1" applyBorder="1" applyAlignment="1">
      <alignment horizontal="center" vertical="center" wrapText="1"/>
    </xf>
    <xf numFmtId="0" fontId="55" fillId="2" borderId="10" xfId="0" applyFont="1" applyFill="1" applyBorder="1" applyAlignment="1">
      <alignment horizontal="center" vertical="center" wrapText="1" readingOrder="2"/>
    </xf>
    <xf numFmtId="0" fontId="55" fillId="2" borderId="9" xfId="0" applyFont="1" applyFill="1" applyBorder="1" applyAlignment="1">
      <alignment horizontal="center" vertical="center" wrapText="1" readingOrder="2"/>
    </xf>
    <xf numFmtId="0" fontId="55" fillId="2" borderId="20" xfId="0" applyFont="1" applyFill="1" applyBorder="1" applyAlignment="1">
      <alignment horizontal="center" vertical="center" wrapText="1" readingOrder="2"/>
    </xf>
    <xf numFmtId="0" fontId="55" fillId="2" borderId="25" xfId="0" applyFont="1" applyFill="1" applyBorder="1" applyAlignment="1">
      <alignment horizontal="center" vertical="center" wrapText="1" readingOrder="2"/>
    </xf>
    <xf numFmtId="0" fontId="55" fillId="2" borderId="21" xfId="0" applyFont="1" applyFill="1" applyBorder="1" applyAlignment="1">
      <alignment horizontal="center" vertical="center" wrapText="1" readingOrder="2"/>
    </xf>
    <xf numFmtId="0" fontId="55" fillId="2" borderId="26" xfId="0" applyFont="1" applyFill="1" applyBorder="1" applyAlignment="1">
      <alignment horizontal="center" vertical="center" wrapText="1" readingOrder="2"/>
    </xf>
    <xf numFmtId="0" fontId="23" fillId="0" borderId="31" xfId="0" quotePrefix="1" applyFont="1" applyBorder="1" applyAlignment="1">
      <alignment horizontal="center" vertical="center" wrapText="1"/>
    </xf>
    <xf numFmtId="0" fontId="23" fillId="0" borderId="23" xfId="0" quotePrefix="1" applyFont="1" applyBorder="1" applyAlignment="1">
      <alignment horizontal="center" vertical="center" wrapText="1"/>
    </xf>
    <xf numFmtId="0" fontId="55" fillId="2" borderId="8" xfId="0" applyFont="1" applyFill="1" applyBorder="1" applyAlignment="1">
      <alignment horizontal="center" vertical="center" wrapText="1" readingOrder="2"/>
    </xf>
    <xf numFmtId="0" fontId="55" fillId="2" borderId="2" xfId="0" applyFont="1" applyFill="1" applyBorder="1" applyAlignment="1">
      <alignment horizontal="center" vertical="center" wrapText="1" readingOrder="2"/>
    </xf>
    <xf numFmtId="0" fontId="55" fillId="2" borderId="5" xfId="0" applyFont="1" applyFill="1" applyBorder="1" applyAlignment="1">
      <alignment horizontal="center" vertical="center" wrapText="1" readingOrder="2"/>
    </xf>
    <xf numFmtId="0" fontId="50" fillId="0" borderId="31" xfId="0" quotePrefix="1" applyFont="1" applyBorder="1" applyAlignment="1">
      <alignment horizontal="center" vertical="center" wrapText="1"/>
    </xf>
    <xf numFmtId="0" fontId="50" fillId="0" borderId="23" xfId="0" quotePrefix="1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55" fillId="2" borderId="10" xfId="0" quotePrefix="1" applyFont="1" applyFill="1" applyBorder="1" applyAlignment="1">
      <alignment horizontal="center" vertical="center" wrapText="1" readingOrder="2"/>
    </xf>
    <xf numFmtId="0" fontId="55" fillId="2" borderId="9" xfId="0" quotePrefix="1" applyFont="1" applyFill="1" applyBorder="1" applyAlignment="1">
      <alignment horizontal="center" vertical="center" wrapText="1" readingOrder="2"/>
    </xf>
    <xf numFmtId="0" fontId="55" fillId="2" borderId="20" xfId="0" quotePrefix="1" applyFont="1" applyFill="1" applyBorder="1" applyAlignment="1">
      <alignment horizontal="center" vertical="center" wrapText="1" readingOrder="2"/>
    </xf>
    <xf numFmtId="0" fontId="55" fillId="2" borderId="23" xfId="0" quotePrefix="1" applyFont="1" applyFill="1" applyBorder="1" applyAlignment="1">
      <alignment horizontal="center" vertical="center" wrapText="1" readingOrder="2"/>
    </xf>
    <xf numFmtId="0" fontId="55" fillId="2" borderId="0" xfId="0" quotePrefix="1" applyFont="1" applyFill="1" applyAlignment="1">
      <alignment horizontal="center" vertical="center" wrapText="1" readingOrder="2"/>
    </xf>
    <xf numFmtId="0" fontId="55" fillId="2" borderId="24" xfId="0" quotePrefix="1" applyFont="1" applyFill="1" applyBorder="1" applyAlignment="1">
      <alignment horizontal="center" vertical="center" wrapText="1" readingOrder="2"/>
    </xf>
    <xf numFmtId="0" fontId="55" fillId="2" borderId="25" xfId="0" quotePrefix="1" applyFont="1" applyFill="1" applyBorder="1" applyAlignment="1">
      <alignment horizontal="center" vertical="center" wrapText="1" readingOrder="2"/>
    </xf>
    <xf numFmtId="0" fontId="55" fillId="2" borderId="21" xfId="0" quotePrefix="1" applyFont="1" applyFill="1" applyBorder="1" applyAlignment="1">
      <alignment horizontal="center" vertical="center" wrapText="1" readingOrder="2"/>
    </xf>
    <xf numFmtId="0" fontId="55" fillId="2" borderId="26" xfId="0" quotePrefix="1" applyFont="1" applyFill="1" applyBorder="1" applyAlignment="1">
      <alignment horizontal="center" vertical="center" wrapText="1" readingOrder="2"/>
    </xf>
    <xf numFmtId="3" fontId="23" fillId="2" borderId="8" xfId="0" applyNumberFormat="1" applyFont="1" applyFill="1" applyBorder="1" applyAlignment="1">
      <alignment horizontal="center" vertical="center" wrapText="1" readingOrder="2"/>
    </xf>
    <xf numFmtId="3" fontId="23" fillId="2" borderId="5" xfId="0" applyNumberFormat="1" applyFont="1" applyFill="1" applyBorder="1" applyAlignment="1">
      <alignment horizontal="center" vertical="center" wrapText="1" readingOrder="2"/>
    </xf>
    <xf numFmtId="0" fontId="56" fillId="0" borderId="31" xfId="0" quotePrefix="1" applyFont="1" applyBorder="1" applyAlignment="1">
      <alignment horizontal="center" vertical="center" wrapText="1"/>
    </xf>
    <xf numFmtId="0" fontId="56" fillId="0" borderId="23" xfId="0" quotePrefix="1" applyFont="1" applyBorder="1" applyAlignment="1">
      <alignment horizontal="center" vertical="center" wrapText="1"/>
    </xf>
    <xf numFmtId="0" fontId="23" fillId="2" borderId="0" xfId="0" quotePrefix="1" applyFont="1" applyFill="1" applyBorder="1" applyAlignment="1">
      <alignment horizontal="center" vertical="center" wrapText="1" readingOrder="2"/>
    </xf>
    <xf numFmtId="0" fontId="30" fillId="2" borderId="0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0000"/>
      <color rgb="FF60A500"/>
      <color rgb="FF009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774708</xdr:colOff>
      <xdr:row>4</xdr:row>
      <xdr:rowOff>173181</xdr:rowOff>
    </xdr:from>
    <xdr:to>
      <xdr:col>18</xdr:col>
      <xdr:colOff>1160319</xdr:colOff>
      <xdr:row>4</xdr:row>
      <xdr:rowOff>484909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BF3FE9-DC05-40AD-8653-B64D08A08CAF}"/>
            </a:ext>
          </a:extLst>
        </xdr:cNvPr>
        <xdr:cNvSpPr/>
      </xdr:nvSpPr>
      <xdr:spPr>
        <a:xfrm flipH="1">
          <a:off x="9986021256" y="1992456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6F1B13D-5BDB-4A70-A2D0-62B041CE3F70}"/>
            </a:ext>
          </a:extLst>
        </xdr:cNvPr>
        <xdr:cNvSpPr/>
      </xdr:nvSpPr>
      <xdr:spPr>
        <a:xfrm>
          <a:off x="99893948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506342-F66C-411F-BB88-CF09F690D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00713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B87CE99-00A9-41E4-8C14-B306EB165E6D}"/>
            </a:ext>
          </a:extLst>
        </xdr:cNvPr>
        <xdr:cNvSpPr/>
      </xdr:nvSpPr>
      <xdr:spPr>
        <a:xfrm flipH="1">
          <a:off x="10137755957" y="1972108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774708</xdr:colOff>
      <xdr:row>4</xdr:row>
      <xdr:rowOff>173181</xdr:rowOff>
    </xdr:from>
    <xdr:to>
      <xdr:col>18</xdr:col>
      <xdr:colOff>1160319</xdr:colOff>
      <xdr:row>4</xdr:row>
      <xdr:rowOff>484909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C191CE2-C032-404F-94D4-04F1A5E5CF51}"/>
            </a:ext>
          </a:extLst>
        </xdr:cNvPr>
        <xdr:cNvSpPr/>
      </xdr:nvSpPr>
      <xdr:spPr>
        <a:xfrm flipH="1">
          <a:off x="9986021256" y="1992456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A38631-7F3E-4E4A-A9B1-18B367B39483}"/>
            </a:ext>
          </a:extLst>
        </xdr:cNvPr>
        <xdr:cNvSpPr/>
      </xdr:nvSpPr>
      <xdr:spPr>
        <a:xfrm>
          <a:off x="99893948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1281545</xdr:colOff>
      <xdr:row>0</xdr:row>
      <xdr:rowOff>106382</xdr:rowOff>
    </xdr:from>
    <xdr:to>
      <xdr:col>2</xdr:col>
      <xdr:colOff>278535</xdr:colOff>
      <xdr:row>2</xdr:row>
      <xdr:rowOff>121228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3186DF-BF61-43D0-875B-0469D1B92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670056" y="106382"/>
          <a:ext cx="1785217" cy="89807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BFAE8CF-1F71-4ED7-A00D-AD5F42081773}"/>
            </a:ext>
          </a:extLst>
        </xdr:cNvPr>
        <xdr:cNvSpPr/>
      </xdr:nvSpPr>
      <xdr:spPr>
        <a:xfrm flipH="1">
          <a:off x="9982003157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774708</xdr:colOff>
      <xdr:row>4</xdr:row>
      <xdr:rowOff>173181</xdr:rowOff>
    </xdr:from>
    <xdr:to>
      <xdr:col>18</xdr:col>
      <xdr:colOff>1160319</xdr:colOff>
      <xdr:row>4</xdr:row>
      <xdr:rowOff>484909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ECC71C-037B-498B-96C9-FD0B1CC437E8}"/>
            </a:ext>
          </a:extLst>
        </xdr:cNvPr>
        <xdr:cNvSpPr/>
      </xdr:nvSpPr>
      <xdr:spPr>
        <a:xfrm flipH="1">
          <a:off x="9986021256" y="1992456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F380F1-0E0D-4EAA-860A-486045D2E210}"/>
            </a:ext>
          </a:extLst>
        </xdr:cNvPr>
        <xdr:cNvSpPr/>
      </xdr:nvSpPr>
      <xdr:spPr>
        <a:xfrm>
          <a:off x="99893948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FF5304-1223-4079-B7FF-13E3D1F26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323890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3E54ADD-13C0-4684-B667-67EBF3B472E7}"/>
            </a:ext>
          </a:extLst>
        </xdr:cNvPr>
        <xdr:cNvSpPr/>
      </xdr:nvSpPr>
      <xdr:spPr>
        <a:xfrm flipH="1">
          <a:off x="9982003157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BDC6895-A131-41BE-B6D4-07930D18986D}"/>
            </a:ext>
          </a:extLst>
        </xdr:cNvPr>
        <xdr:cNvSpPr/>
      </xdr:nvSpPr>
      <xdr:spPr>
        <a:xfrm flipH="1">
          <a:off x="10141345431" y="2030557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E006081-9CEF-4FD0-B436-9E8F6445B354}"/>
            </a:ext>
          </a:extLst>
        </xdr:cNvPr>
        <xdr:cNvSpPr/>
      </xdr:nvSpPr>
      <xdr:spPr>
        <a:xfrm>
          <a:off x="998840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BC2387-0ED3-4BC4-8360-E81C85F8A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0533315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E44BB2A-39D2-47A4-B53D-584BDDD1433D}"/>
            </a:ext>
          </a:extLst>
        </xdr:cNvPr>
        <xdr:cNvSpPr/>
      </xdr:nvSpPr>
      <xdr:spPr>
        <a:xfrm flipH="1">
          <a:off x="9982003157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943CAA-3E80-4AC2-9ECF-BC31FAB57226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5AC8C0E-0465-4D02-B9A3-A0C60F6E21F8}"/>
            </a:ext>
          </a:extLst>
        </xdr:cNvPr>
        <xdr:cNvSpPr/>
      </xdr:nvSpPr>
      <xdr:spPr>
        <a:xfrm>
          <a:off x="9991347464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FBDFE6-EFA5-4768-9F8D-70043D25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3476540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BD2B92E-F13A-42B8-9718-24AC95213F97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6DC4DC7-0D96-4896-8120-D54F12D8AC19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C37800-9B20-42FC-9BCD-8DD5965A96FC}"/>
            </a:ext>
          </a:extLst>
        </xdr:cNvPr>
        <xdr:cNvSpPr/>
      </xdr:nvSpPr>
      <xdr:spPr>
        <a:xfrm>
          <a:off x="9991347464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7608E5-E1C9-4264-B21B-D49EBCE77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3476540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7D1E183-1117-4A4B-BBEE-97AEB6F57808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A78752-2304-487E-BF37-C0EB3691D1C3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82F97B-5C6C-42F2-BCE5-29B812D0EC1C}"/>
            </a:ext>
          </a:extLst>
        </xdr:cNvPr>
        <xdr:cNvSpPr/>
      </xdr:nvSpPr>
      <xdr:spPr>
        <a:xfrm>
          <a:off x="9991347464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A57F41-0147-4CD3-9D29-723EAC385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3476540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C75C0C8-E881-4E6E-A355-0B75641CE266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288B343-8E28-4AD5-BC2D-96253A8B7E86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F46C61-48B5-4DCE-9CEA-76B98FAD3413}"/>
            </a:ext>
          </a:extLst>
        </xdr:cNvPr>
        <xdr:cNvSpPr/>
      </xdr:nvSpPr>
      <xdr:spPr>
        <a:xfrm>
          <a:off x="9991347464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2731D3-0984-4774-8837-07A9D853E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3476540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6080D59-C37F-4E1F-8C66-2B722A924AAC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87B0EC2-0A7C-438B-BF82-59DD16371159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A7DCE6A-EA4A-4662-B7AA-02FADF41C0C0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B31FAB-C8D9-4DE7-B984-9CEC19A6C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419515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1013925-117F-4A04-A4FF-FA457E439C03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AB4BA2-0D40-481F-B6EF-5517DC3DA674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041E1B-5A09-4ADA-A451-5D4207C11D65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97B1B8-5390-49D4-9D16-8DFD2DB4E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419515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53EB24B-AD6B-42A7-9439-2B4D8FDA1F39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37629AA-E391-4D34-B988-CEEFB3B6E3F3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878296F-72D9-49F3-BE1D-BA9F32E7790E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278535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3F4A67-A7BF-4BD0-BC50-DE0F18535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419515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E98948E-EF61-4899-ADE5-285153F73EF9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36E521-C203-4465-B42E-197F19D744A2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3A9A65-43C1-48A0-A88E-FA3BC185AA75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591C46-E4AD-4837-8893-0236BF9E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610015" y="106382"/>
          <a:ext cx="3388880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DC5401A-115A-4E48-BB30-A53610360A2E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BE23BE-7206-4527-BAA6-270E46FE42A7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827EE98-E2A9-4E23-A8FE-F318D031BFEB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2B151B-7AE5-4F5F-AD8B-BB6102586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9481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3B87595-7C3E-4771-A2C7-6BB668347CFB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52DFD4C-F27B-4351-A50F-63B23C941A14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81F053C-5F51-4AA3-A5D8-4F546F2F89A6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7F110F-56A8-4B7D-A3BD-705D92DE1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9481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FBA3E9B-ADBC-4FB8-ADB7-F49C21A942F4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45D02A-7FEB-42F6-AB49-8E32F12E964B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EB9BE5B-3282-4D18-AF5E-E1145A885ED9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6EB8B4-9796-4231-BC16-879E4CA4F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9481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98AA225-CEE5-4FC7-83FD-DC97876C46FC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C813FDB-5CED-4307-84A9-61835113B03F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7EFB588-EF40-49F5-BE99-5726BA529198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20E7FB-EA65-4847-BCC9-C05F8D7EE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9481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B52C12-AE72-4478-83E9-023A7E0FFEA8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02A6A7-68B4-4CE4-8A7F-7158F84F8A9F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079B3A4-32E0-4077-A20B-EE9EBB50FEA9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C58DF4-F032-4AAD-AA05-723B360FE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9481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9073BCB-8266-486B-A216-240725CD2346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8705BA-018F-4704-BCD5-2B10F5073A6A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7478E27-47F6-4F6C-9423-98F09DA502C2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F6FF54-371D-4EEE-B3B7-31A4C4FCF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9481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86C5D1E-094A-474C-864E-D145CD40947B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2BE724-1FFE-428F-86B2-6AC460EDB477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25DF67B-3388-4E06-AF5E-7691ACCD507D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B0FF2B-2EFE-4097-A1AC-F33787BB5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9481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64F9CE1-2A88-4A69-A270-D918B6ED6085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F7D5AF6-CF55-4B3E-AC72-7478B9CAFE82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D23F8C8-2386-450F-8FB9-08AFD62EF32A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333006-7128-4BDA-BDA2-F4568066D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9481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20E7A41-CCC2-4F33-A28B-09A70DE131E3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1203333</xdr:colOff>
      <xdr:row>4</xdr:row>
      <xdr:rowOff>196994</xdr:rowOff>
    </xdr:from>
    <xdr:to>
      <xdr:col>18</xdr:col>
      <xdr:colOff>1588944</xdr:colOff>
      <xdr:row>4</xdr:row>
      <xdr:rowOff>508722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2EE724-1147-4331-9934-3F00449AB44F}"/>
            </a:ext>
          </a:extLst>
        </xdr:cNvPr>
        <xdr:cNvSpPr/>
      </xdr:nvSpPr>
      <xdr:spPr>
        <a:xfrm flipH="1">
          <a:off x="9988535856" y="201626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414810</xdr:colOff>
      <xdr:row>4</xdr:row>
      <xdr:rowOff>173182</xdr:rowOff>
    </xdr:from>
    <xdr:to>
      <xdr:col>16</xdr:col>
      <xdr:colOff>796636</xdr:colOff>
      <xdr:row>4</xdr:row>
      <xdr:rowOff>484909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3696DA9-C46C-40B3-B4D8-2FA7A0A910EA}"/>
            </a:ext>
          </a:extLst>
        </xdr:cNvPr>
        <xdr:cNvSpPr/>
      </xdr:nvSpPr>
      <xdr:spPr>
        <a:xfrm>
          <a:off x="9992214239" y="1992457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84CFEB-B899-4888-A0BD-5EB1B1C55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4948152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744682</xdr:colOff>
      <xdr:row>4</xdr:row>
      <xdr:rowOff>138545</xdr:rowOff>
    </xdr:from>
    <xdr:to>
      <xdr:col>20</xdr:col>
      <xdr:colOff>1130293</xdr:colOff>
      <xdr:row>4</xdr:row>
      <xdr:rowOff>450273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626A2C7-2052-4DD9-8774-B1EDF4F523FA}"/>
            </a:ext>
          </a:extLst>
        </xdr:cNvPr>
        <xdr:cNvSpPr/>
      </xdr:nvSpPr>
      <xdr:spPr>
        <a:xfrm flipH="1">
          <a:off x="9984946382" y="195782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1131895</xdr:colOff>
      <xdr:row>4</xdr:row>
      <xdr:rowOff>292244</xdr:rowOff>
    </xdr:from>
    <xdr:to>
      <xdr:col>18</xdr:col>
      <xdr:colOff>1517506</xdr:colOff>
      <xdr:row>4</xdr:row>
      <xdr:rowOff>603972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83AA5C-255E-4F99-B57B-3A3B2957A6EF}"/>
            </a:ext>
          </a:extLst>
        </xdr:cNvPr>
        <xdr:cNvSpPr/>
      </xdr:nvSpPr>
      <xdr:spPr>
        <a:xfrm flipH="1">
          <a:off x="10144345806" y="234011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390998</xdr:colOff>
      <xdr:row>4</xdr:row>
      <xdr:rowOff>244620</xdr:rowOff>
    </xdr:from>
    <xdr:to>
      <xdr:col>16</xdr:col>
      <xdr:colOff>772824</xdr:colOff>
      <xdr:row>4</xdr:row>
      <xdr:rowOff>556347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17A5FE5-5909-4CCA-B5E3-0507C640BCCF}"/>
            </a:ext>
          </a:extLst>
        </xdr:cNvPr>
        <xdr:cNvSpPr/>
      </xdr:nvSpPr>
      <xdr:spPr>
        <a:xfrm>
          <a:off x="10148209926" y="2292495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3BF5A0-4368-45F2-BD83-56724D9B2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186277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935182</xdr:colOff>
      <xdr:row>4</xdr:row>
      <xdr:rowOff>281420</xdr:rowOff>
    </xdr:from>
    <xdr:to>
      <xdr:col>20</xdr:col>
      <xdr:colOff>1320793</xdr:colOff>
      <xdr:row>4</xdr:row>
      <xdr:rowOff>593148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23F4F58-8D3D-4C0C-8B6E-6D9370F0667F}"/>
            </a:ext>
          </a:extLst>
        </xdr:cNvPr>
        <xdr:cNvSpPr/>
      </xdr:nvSpPr>
      <xdr:spPr>
        <a:xfrm flipH="1">
          <a:off x="10140494394" y="2329295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1131895</xdr:colOff>
      <xdr:row>4</xdr:row>
      <xdr:rowOff>292244</xdr:rowOff>
    </xdr:from>
    <xdr:to>
      <xdr:col>18</xdr:col>
      <xdr:colOff>1517506</xdr:colOff>
      <xdr:row>4</xdr:row>
      <xdr:rowOff>603972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579861-F791-42FC-8FBD-C4E408240741}"/>
            </a:ext>
          </a:extLst>
        </xdr:cNvPr>
        <xdr:cNvSpPr/>
      </xdr:nvSpPr>
      <xdr:spPr>
        <a:xfrm flipH="1">
          <a:off x="9988607294" y="2330594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390998</xdr:colOff>
      <xdr:row>4</xdr:row>
      <xdr:rowOff>244620</xdr:rowOff>
    </xdr:from>
    <xdr:to>
      <xdr:col>16</xdr:col>
      <xdr:colOff>772824</xdr:colOff>
      <xdr:row>4</xdr:row>
      <xdr:rowOff>556347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3C759E-265D-4CD5-9504-ECF1CC687951}"/>
            </a:ext>
          </a:extLst>
        </xdr:cNvPr>
        <xdr:cNvSpPr/>
      </xdr:nvSpPr>
      <xdr:spPr>
        <a:xfrm>
          <a:off x="9992476176" y="2282970"/>
          <a:ext cx="381826" cy="31172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017B63-4685-4E0C-8542-1A78C0C1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186277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935182</xdr:colOff>
      <xdr:row>4</xdr:row>
      <xdr:rowOff>281420</xdr:rowOff>
    </xdr:from>
    <xdr:to>
      <xdr:col>20</xdr:col>
      <xdr:colOff>1320793</xdr:colOff>
      <xdr:row>4</xdr:row>
      <xdr:rowOff>593148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CDD8599-3040-4B33-B9AB-613400B2F017}"/>
            </a:ext>
          </a:extLst>
        </xdr:cNvPr>
        <xdr:cNvSpPr/>
      </xdr:nvSpPr>
      <xdr:spPr>
        <a:xfrm flipH="1">
          <a:off x="9984755882" y="231977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393708</xdr:colOff>
      <xdr:row>4</xdr:row>
      <xdr:rowOff>292244</xdr:rowOff>
    </xdr:from>
    <xdr:to>
      <xdr:col>16</xdr:col>
      <xdr:colOff>779319</xdr:colOff>
      <xdr:row>4</xdr:row>
      <xdr:rowOff>603972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A0A087-1E45-4065-9C96-9D2710AA91AB}"/>
            </a:ext>
          </a:extLst>
        </xdr:cNvPr>
        <xdr:cNvSpPr/>
      </xdr:nvSpPr>
      <xdr:spPr>
        <a:xfrm flipH="1">
          <a:off x="10148203431" y="2340119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605309</xdr:colOff>
      <xdr:row>4</xdr:row>
      <xdr:rowOff>244622</xdr:rowOff>
    </xdr:from>
    <xdr:to>
      <xdr:col>18</xdr:col>
      <xdr:colOff>1047749</xdr:colOff>
      <xdr:row>4</xdr:row>
      <xdr:rowOff>642939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4172BE4-D6A0-4E05-B3F6-FCE1913BA30C}"/>
            </a:ext>
          </a:extLst>
        </xdr:cNvPr>
        <xdr:cNvSpPr/>
      </xdr:nvSpPr>
      <xdr:spPr>
        <a:xfrm>
          <a:off x="10144815563" y="2292497"/>
          <a:ext cx="442440" cy="39831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75A502-1A3F-46AE-B5AC-7E8D08C39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186277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935182</xdr:colOff>
      <xdr:row>4</xdr:row>
      <xdr:rowOff>281420</xdr:rowOff>
    </xdr:from>
    <xdr:to>
      <xdr:col>20</xdr:col>
      <xdr:colOff>1320793</xdr:colOff>
      <xdr:row>4</xdr:row>
      <xdr:rowOff>593148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183CC7A-0C72-42EC-A209-570D9EC82611}"/>
            </a:ext>
          </a:extLst>
        </xdr:cNvPr>
        <xdr:cNvSpPr/>
      </xdr:nvSpPr>
      <xdr:spPr>
        <a:xfrm flipH="1">
          <a:off x="9984755882" y="231977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393708</xdr:colOff>
      <xdr:row>4</xdr:row>
      <xdr:rowOff>292244</xdr:rowOff>
    </xdr:from>
    <xdr:to>
      <xdr:col>16</xdr:col>
      <xdr:colOff>779319</xdr:colOff>
      <xdr:row>4</xdr:row>
      <xdr:rowOff>603972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83E8385-C9B8-4E3A-AD72-FEC2EBE57806}"/>
            </a:ext>
          </a:extLst>
        </xdr:cNvPr>
        <xdr:cNvSpPr/>
      </xdr:nvSpPr>
      <xdr:spPr>
        <a:xfrm flipH="1">
          <a:off x="9992469681" y="2330594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605309</xdr:colOff>
      <xdr:row>4</xdr:row>
      <xdr:rowOff>244622</xdr:rowOff>
    </xdr:from>
    <xdr:to>
      <xdr:col>18</xdr:col>
      <xdr:colOff>1047749</xdr:colOff>
      <xdr:row>4</xdr:row>
      <xdr:rowOff>642939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AACB2D-5DC6-482D-9472-D7CE5C9E011C}"/>
            </a:ext>
          </a:extLst>
        </xdr:cNvPr>
        <xdr:cNvSpPr/>
      </xdr:nvSpPr>
      <xdr:spPr>
        <a:xfrm>
          <a:off x="9989077051" y="2282972"/>
          <a:ext cx="442440" cy="39831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D2EE40-6F88-4DF6-A54D-A745382B5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186277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935182</xdr:colOff>
      <xdr:row>4</xdr:row>
      <xdr:rowOff>281420</xdr:rowOff>
    </xdr:from>
    <xdr:to>
      <xdr:col>20</xdr:col>
      <xdr:colOff>1320793</xdr:colOff>
      <xdr:row>4</xdr:row>
      <xdr:rowOff>593148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8FD2CAB-8296-4537-88FA-2B15A9C3D553}"/>
            </a:ext>
          </a:extLst>
        </xdr:cNvPr>
        <xdr:cNvSpPr/>
      </xdr:nvSpPr>
      <xdr:spPr>
        <a:xfrm flipH="1">
          <a:off x="9984755882" y="231977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393708</xdr:colOff>
      <xdr:row>4</xdr:row>
      <xdr:rowOff>292244</xdr:rowOff>
    </xdr:from>
    <xdr:to>
      <xdr:col>16</xdr:col>
      <xdr:colOff>779319</xdr:colOff>
      <xdr:row>4</xdr:row>
      <xdr:rowOff>603972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22B919-D785-4348-A6CC-C7B3135FFC6F}"/>
            </a:ext>
          </a:extLst>
        </xdr:cNvPr>
        <xdr:cNvSpPr/>
      </xdr:nvSpPr>
      <xdr:spPr>
        <a:xfrm flipH="1">
          <a:off x="9992469681" y="2330594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605309</xdr:colOff>
      <xdr:row>4</xdr:row>
      <xdr:rowOff>244622</xdr:rowOff>
    </xdr:from>
    <xdr:to>
      <xdr:col>18</xdr:col>
      <xdr:colOff>1047749</xdr:colOff>
      <xdr:row>4</xdr:row>
      <xdr:rowOff>642939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60410F-9A76-4F39-9CAF-E3F6A49B06A5}"/>
            </a:ext>
          </a:extLst>
        </xdr:cNvPr>
        <xdr:cNvSpPr/>
      </xdr:nvSpPr>
      <xdr:spPr>
        <a:xfrm>
          <a:off x="9989077051" y="2282972"/>
          <a:ext cx="442440" cy="39831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15F38C-DDA8-47A3-83DF-EB76D6DFC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186277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935182</xdr:colOff>
      <xdr:row>4</xdr:row>
      <xdr:rowOff>281420</xdr:rowOff>
    </xdr:from>
    <xdr:to>
      <xdr:col>20</xdr:col>
      <xdr:colOff>1320793</xdr:colOff>
      <xdr:row>4</xdr:row>
      <xdr:rowOff>593148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064A849-9D03-4F25-A602-25236A998F21}"/>
            </a:ext>
          </a:extLst>
        </xdr:cNvPr>
        <xdr:cNvSpPr/>
      </xdr:nvSpPr>
      <xdr:spPr>
        <a:xfrm flipH="1">
          <a:off x="9984755882" y="231977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631834</xdr:colOff>
      <xdr:row>4</xdr:row>
      <xdr:rowOff>339869</xdr:rowOff>
    </xdr:from>
    <xdr:to>
      <xdr:col>18</xdr:col>
      <xdr:colOff>1143001</xdr:colOff>
      <xdr:row>4</xdr:row>
      <xdr:rowOff>714375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B153F9-059F-431D-9B99-E6E7667DD700}"/>
            </a:ext>
          </a:extLst>
        </xdr:cNvPr>
        <xdr:cNvSpPr/>
      </xdr:nvSpPr>
      <xdr:spPr>
        <a:xfrm flipH="1">
          <a:off x="9988981799" y="2378219"/>
          <a:ext cx="511167" cy="374506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390998</xdr:colOff>
      <xdr:row>4</xdr:row>
      <xdr:rowOff>268435</xdr:rowOff>
    </xdr:from>
    <xdr:to>
      <xdr:col>16</xdr:col>
      <xdr:colOff>833438</xdr:colOff>
      <xdr:row>4</xdr:row>
      <xdr:rowOff>666752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926640-04BE-4C16-AD09-AC4EE32D64DD}"/>
            </a:ext>
          </a:extLst>
        </xdr:cNvPr>
        <xdr:cNvSpPr/>
      </xdr:nvSpPr>
      <xdr:spPr>
        <a:xfrm>
          <a:off x="9992415562" y="2306785"/>
          <a:ext cx="442440" cy="39831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C31E5F-6482-47B8-A73D-486EE8687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472027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935182</xdr:colOff>
      <xdr:row>4</xdr:row>
      <xdr:rowOff>281420</xdr:rowOff>
    </xdr:from>
    <xdr:to>
      <xdr:col>20</xdr:col>
      <xdr:colOff>1320793</xdr:colOff>
      <xdr:row>4</xdr:row>
      <xdr:rowOff>593148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5DCBF36-EBC4-437B-8196-2F972A2292C3}"/>
            </a:ext>
          </a:extLst>
        </xdr:cNvPr>
        <xdr:cNvSpPr/>
      </xdr:nvSpPr>
      <xdr:spPr>
        <a:xfrm flipH="1">
          <a:off x="9984755882" y="231977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631834</xdr:colOff>
      <xdr:row>4</xdr:row>
      <xdr:rowOff>339869</xdr:rowOff>
    </xdr:from>
    <xdr:to>
      <xdr:col>18</xdr:col>
      <xdr:colOff>1143001</xdr:colOff>
      <xdr:row>4</xdr:row>
      <xdr:rowOff>714375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8FEE2FE-05DB-4002-8CB7-B8D017177712}"/>
            </a:ext>
          </a:extLst>
        </xdr:cNvPr>
        <xdr:cNvSpPr/>
      </xdr:nvSpPr>
      <xdr:spPr>
        <a:xfrm flipH="1">
          <a:off x="10144720311" y="2387744"/>
          <a:ext cx="511167" cy="374506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390998</xdr:colOff>
      <xdr:row>4</xdr:row>
      <xdr:rowOff>268435</xdr:rowOff>
    </xdr:from>
    <xdr:to>
      <xdr:col>16</xdr:col>
      <xdr:colOff>833438</xdr:colOff>
      <xdr:row>4</xdr:row>
      <xdr:rowOff>666752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AADCA-8D36-4037-A0F0-16517CE904EA}"/>
            </a:ext>
          </a:extLst>
        </xdr:cNvPr>
        <xdr:cNvSpPr/>
      </xdr:nvSpPr>
      <xdr:spPr>
        <a:xfrm>
          <a:off x="10148149312" y="2316310"/>
          <a:ext cx="442440" cy="39831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F65E4C-A702-44D2-B137-6304CD6F7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472027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935182</xdr:colOff>
      <xdr:row>4</xdr:row>
      <xdr:rowOff>281420</xdr:rowOff>
    </xdr:from>
    <xdr:to>
      <xdr:col>20</xdr:col>
      <xdr:colOff>1320793</xdr:colOff>
      <xdr:row>4</xdr:row>
      <xdr:rowOff>593148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23D0A27-148E-453B-804B-C24C4625138A}"/>
            </a:ext>
          </a:extLst>
        </xdr:cNvPr>
        <xdr:cNvSpPr/>
      </xdr:nvSpPr>
      <xdr:spPr>
        <a:xfrm flipH="1">
          <a:off x="9984755882" y="231977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631834</xdr:colOff>
      <xdr:row>4</xdr:row>
      <xdr:rowOff>339869</xdr:rowOff>
    </xdr:from>
    <xdr:to>
      <xdr:col>18</xdr:col>
      <xdr:colOff>1143001</xdr:colOff>
      <xdr:row>4</xdr:row>
      <xdr:rowOff>714375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948AD0-8C8F-4D76-924D-51B2A5B53395}"/>
            </a:ext>
          </a:extLst>
        </xdr:cNvPr>
        <xdr:cNvSpPr/>
      </xdr:nvSpPr>
      <xdr:spPr>
        <a:xfrm flipH="1">
          <a:off x="9988981799" y="2378219"/>
          <a:ext cx="511167" cy="374506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390998</xdr:colOff>
      <xdr:row>4</xdr:row>
      <xdr:rowOff>268435</xdr:rowOff>
    </xdr:from>
    <xdr:to>
      <xdr:col>16</xdr:col>
      <xdr:colOff>833438</xdr:colOff>
      <xdr:row>4</xdr:row>
      <xdr:rowOff>666752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6600AB-49B4-45CC-80BB-CB5A46EAE80A}"/>
            </a:ext>
          </a:extLst>
        </xdr:cNvPr>
        <xdr:cNvSpPr/>
      </xdr:nvSpPr>
      <xdr:spPr>
        <a:xfrm>
          <a:off x="9992415562" y="2306785"/>
          <a:ext cx="442440" cy="39831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5F5EF1-D148-4A2B-919C-E71507FB9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472027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935182</xdr:colOff>
      <xdr:row>4</xdr:row>
      <xdr:rowOff>281420</xdr:rowOff>
    </xdr:from>
    <xdr:to>
      <xdr:col>20</xdr:col>
      <xdr:colOff>1320793</xdr:colOff>
      <xdr:row>4</xdr:row>
      <xdr:rowOff>593148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55DCD4A-1CDF-4699-B560-AC8164B8906B}"/>
            </a:ext>
          </a:extLst>
        </xdr:cNvPr>
        <xdr:cNvSpPr/>
      </xdr:nvSpPr>
      <xdr:spPr>
        <a:xfrm flipH="1">
          <a:off x="9984755882" y="231977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631834</xdr:colOff>
      <xdr:row>4</xdr:row>
      <xdr:rowOff>339869</xdr:rowOff>
    </xdr:from>
    <xdr:to>
      <xdr:col>18</xdr:col>
      <xdr:colOff>1143001</xdr:colOff>
      <xdr:row>4</xdr:row>
      <xdr:rowOff>714375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917D90-D071-4775-9946-C7C2BEA9276E}"/>
            </a:ext>
          </a:extLst>
        </xdr:cNvPr>
        <xdr:cNvSpPr/>
      </xdr:nvSpPr>
      <xdr:spPr>
        <a:xfrm flipH="1">
          <a:off x="9988981799" y="2378219"/>
          <a:ext cx="511167" cy="374506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390998</xdr:colOff>
      <xdr:row>4</xdr:row>
      <xdr:rowOff>268435</xdr:rowOff>
    </xdr:from>
    <xdr:to>
      <xdr:col>16</xdr:col>
      <xdr:colOff>833438</xdr:colOff>
      <xdr:row>4</xdr:row>
      <xdr:rowOff>666752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97CD44-34F0-4E64-A435-CA1BBE8E63BE}"/>
            </a:ext>
          </a:extLst>
        </xdr:cNvPr>
        <xdr:cNvSpPr/>
      </xdr:nvSpPr>
      <xdr:spPr>
        <a:xfrm>
          <a:off x="9992415562" y="2306785"/>
          <a:ext cx="442440" cy="398317"/>
        </a:xfrm>
        <a:prstGeom prst="rect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242455</xdr:colOff>
      <xdr:row>0</xdr:row>
      <xdr:rowOff>106382</xdr:rowOff>
    </xdr:from>
    <xdr:to>
      <xdr:col>2</xdr:col>
      <xdr:colOff>64223</xdr:colOff>
      <xdr:row>2</xdr:row>
      <xdr:rowOff>317500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39B5AA-90D1-464A-AA32-0710129E6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472027" y="106382"/>
          <a:ext cx="3393643" cy="1096943"/>
        </a:xfrm>
        <a:prstGeom prst="rect">
          <a:avLst/>
        </a:prstGeom>
      </xdr:spPr>
    </xdr:pic>
    <xdr:clientData/>
  </xdr:twoCellAnchor>
  <xdr:twoCellAnchor>
    <xdr:from>
      <xdr:col>20</xdr:col>
      <xdr:colOff>935182</xdr:colOff>
      <xdr:row>4</xdr:row>
      <xdr:rowOff>281420</xdr:rowOff>
    </xdr:from>
    <xdr:to>
      <xdr:col>20</xdr:col>
      <xdr:colOff>1320793</xdr:colOff>
      <xdr:row>4</xdr:row>
      <xdr:rowOff>593148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83CD835-6005-4AF2-BC60-CBDD35A8BC6A}"/>
            </a:ext>
          </a:extLst>
        </xdr:cNvPr>
        <xdr:cNvSpPr/>
      </xdr:nvSpPr>
      <xdr:spPr>
        <a:xfrm flipH="1">
          <a:off x="9984755882" y="2319770"/>
          <a:ext cx="385611" cy="31172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fa-I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B7E5-0BC4-4C51-8AAC-977ED0F58246}">
  <sheetPr>
    <pageSetUpPr fitToPage="1"/>
  </sheetPr>
  <dimension ref="A1:AH111"/>
  <sheetViews>
    <sheetView rightToLeft="1" view="pageBreakPreview" topLeftCell="A4" zoomScale="40" zoomScaleNormal="110" zoomScaleSheetLayoutView="40" workbookViewId="0">
      <selection activeCell="M11" sqref="M11:R14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9.140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2" width="11.7109375" style="3" customWidth="1"/>
    <col min="13" max="16" width="10.7109375" style="3" customWidth="1"/>
    <col min="17" max="17" width="13.5703125" style="3" customWidth="1"/>
    <col min="18" max="18" width="31.57031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26" width="12.7109375" bestFit="1" customWidth="1"/>
    <col min="27" max="27" width="12.42578125" customWidth="1"/>
    <col min="28" max="28" width="17.5703125" customWidth="1"/>
    <col min="29" max="33" width="13.57031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122</v>
      </c>
      <c r="S1" s="297"/>
      <c r="T1" s="300" t="s">
        <v>123</v>
      </c>
      <c r="U1" s="300"/>
      <c r="V1" s="302" t="s">
        <v>124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303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303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125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273" t="s">
        <v>2</v>
      </c>
      <c r="M7" s="274" t="s">
        <v>28</v>
      </c>
      <c r="N7" s="275"/>
      <c r="O7" s="275"/>
      <c r="P7" s="275"/>
      <c r="Q7" s="275"/>
      <c r="R7" s="275"/>
      <c r="S7" s="278" t="s">
        <v>26</v>
      </c>
      <c r="T7" s="280" t="s">
        <v>27</v>
      </c>
      <c r="U7" s="280"/>
      <c r="V7" s="282" t="s">
        <v>82</v>
      </c>
      <c r="W7" s="19"/>
    </row>
    <row r="8" spans="1:34" ht="4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273"/>
      <c r="M8" s="276"/>
      <c r="N8" s="277"/>
      <c r="O8" s="277"/>
      <c r="P8" s="277"/>
      <c r="Q8" s="277"/>
      <c r="R8" s="277"/>
      <c r="S8" s="279"/>
      <c r="T8" s="281"/>
      <c r="U8" s="281"/>
      <c r="V8" s="283"/>
      <c r="W8" s="19"/>
      <c r="AA8" s="6"/>
      <c r="AB8" s="6"/>
      <c r="AC8" s="6"/>
      <c r="AD8" s="6"/>
      <c r="AE8" s="6"/>
    </row>
    <row r="9" spans="1:34" ht="4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>
        <v>1</v>
      </c>
      <c r="J9" s="71"/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251" t="s">
        <v>57</v>
      </c>
      <c r="T9" s="252">
        <v>0</v>
      </c>
      <c r="U9" s="252"/>
      <c r="V9" s="210">
        <v>492480</v>
      </c>
      <c r="X9" s="5"/>
      <c r="Y9" s="5">
        <v>3000</v>
      </c>
      <c r="Z9" s="5"/>
    </row>
    <row r="10" spans="1:34" ht="4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/>
      <c r="J10" s="71">
        <v>1</v>
      </c>
      <c r="K10" s="71"/>
      <c r="L10" s="186"/>
      <c r="M10" s="250"/>
      <c r="N10" s="250"/>
      <c r="O10" s="250"/>
      <c r="P10" s="250"/>
      <c r="Q10" s="250"/>
      <c r="R10" s="250"/>
      <c r="S10" s="251"/>
      <c r="T10" s="252"/>
      <c r="U10" s="252"/>
      <c r="V10" s="211"/>
      <c r="W10" s="19"/>
      <c r="AA10" s="6"/>
      <c r="AB10" s="6"/>
      <c r="AC10" s="6"/>
      <c r="AD10" s="6"/>
      <c r="AE10" s="6"/>
    </row>
    <row r="11" spans="1:34" ht="54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2</v>
      </c>
      <c r="J11" s="71">
        <v>4</v>
      </c>
      <c r="K11" s="71"/>
      <c r="L11" s="186">
        <v>2</v>
      </c>
      <c r="M11" s="253" t="s">
        <v>137</v>
      </c>
      <c r="N11" s="254"/>
      <c r="O11" s="254"/>
      <c r="P11" s="254"/>
      <c r="Q11" s="254"/>
      <c r="R11" s="255"/>
      <c r="S11" s="243" t="s">
        <v>57</v>
      </c>
      <c r="T11" s="200">
        <v>1840</v>
      </c>
      <c r="U11" s="201"/>
      <c r="V11" s="210">
        <v>170625</v>
      </c>
      <c r="W11" s="236">
        <f>V11+T11</f>
        <v>172465</v>
      </c>
      <c r="AA11" s="6"/>
      <c r="AB11" s="6"/>
      <c r="AC11" s="6"/>
      <c r="AD11" s="6"/>
      <c r="AE11" s="6"/>
    </row>
    <row r="12" spans="1:34" ht="51.75" customHeight="1">
      <c r="A12" s="33">
        <v>6</v>
      </c>
      <c r="B12" s="69" t="s">
        <v>39</v>
      </c>
      <c r="C12" s="40">
        <v>1</v>
      </c>
      <c r="D12" s="40"/>
      <c r="E12" s="40">
        <v>1</v>
      </c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256"/>
      <c r="N12" s="257"/>
      <c r="O12" s="257"/>
      <c r="P12" s="257"/>
      <c r="Q12" s="257"/>
      <c r="R12" s="258"/>
      <c r="S12" s="262"/>
      <c r="T12" s="202"/>
      <c r="U12" s="203"/>
      <c r="V12" s="263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1.5" customHeight="1">
      <c r="A13" s="33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72">
        <v>1</v>
      </c>
      <c r="I13" s="72">
        <v>1</v>
      </c>
      <c r="J13" s="72"/>
      <c r="K13" s="71"/>
      <c r="L13" s="186"/>
      <c r="M13" s="256"/>
      <c r="N13" s="257"/>
      <c r="O13" s="257"/>
      <c r="P13" s="257"/>
      <c r="Q13" s="257"/>
      <c r="R13" s="258"/>
      <c r="S13" s="262"/>
      <c r="T13" s="202"/>
      <c r="U13" s="203"/>
      <c r="V13" s="263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68.25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1</v>
      </c>
      <c r="J14" s="71"/>
      <c r="K14" s="71">
        <v>1</v>
      </c>
      <c r="L14" s="186"/>
      <c r="M14" s="259"/>
      <c r="N14" s="260"/>
      <c r="O14" s="260"/>
      <c r="P14" s="260"/>
      <c r="Q14" s="260"/>
      <c r="R14" s="261"/>
      <c r="S14" s="244"/>
      <c r="T14" s="204"/>
      <c r="U14" s="205"/>
      <c r="V14" s="211"/>
      <c r="W14" s="236"/>
    </row>
    <row r="15" spans="1:34" ht="81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248">
        <v>0</v>
      </c>
      <c r="U15" s="249"/>
      <c r="V15" s="36">
        <v>51330</v>
      </c>
      <c r="W15" s="39">
        <f>V15+T15</f>
        <v>51330</v>
      </c>
    </row>
    <row r="16" spans="1:34" ht="75.75" customHeight="1">
      <c r="A16" s="33">
        <v>10</v>
      </c>
      <c r="B16" s="67" t="s">
        <v>113</v>
      </c>
      <c r="C16" s="40">
        <v>1</v>
      </c>
      <c r="D16" s="40">
        <v>1</v>
      </c>
      <c r="E16" s="40"/>
      <c r="F16" s="40">
        <v>10</v>
      </c>
      <c r="G16" s="24" t="s">
        <v>70</v>
      </c>
      <c r="H16" s="71">
        <v>3</v>
      </c>
      <c r="I16" s="71">
        <v>2</v>
      </c>
      <c r="J16" s="71">
        <v>1</v>
      </c>
      <c r="K16" s="71"/>
      <c r="L16" s="40">
        <v>4</v>
      </c>
      <c r="M16" s="140" t="s">
        <v>116</v>
      </c>
      <c r="N16" s="141"/>
      <c r="O16" s="141"/>
      <c r="P16" s="141"/>
      <c r="Q16" s="141"/>
      <c r="R16" s="142"/>
      <c r="S16" s="35" t="s">
        <v>85</v>
      </c>
      <c r="T16" s="228">
        <v>0</v>
      </c>
      <c r="U16" s="229"/>
      <c r="V16" s="36">
        <v>43476</v>
      </c>
      <c r="W16" s="47">
        <f>V16+T16</f>
        <v>43476</v>
      </c>
    </row>
    <row r="17" spans="1:27" ht="43.5" customHeight="1">
      <c r="A17" s="33">
        <v>11</v>
      </c>
      <c r="B17" s="27" t="s">
        <v>21</v>
      </c>
      <c r="C17" s="40">
        <v>2</v>
      </c>
      <c r="D17" s="40">
        <v>2</v>
      </c>
      <c r="E17" s="40"/>
      <c r="F17" s="40">
        <v>11</v>
      </c>
      <c r="G17" s="27" t="s">
        <v>102</v>
      </c>
      <c r="H17" s="71">
        <v>2</v>
      </c>
      <c r="I17" s="71">
        <v>2</v>
      </c>
      <c r="J17" s="71"/>
      <c r="K17" s="71"/>
      <c r="L17" s="186">
        <v>5</v>
      </c>
      <c r="M17" s="230" t="s">
        <v>127</v>
      </c>
      <c r="N17" s="231"/>
      <c r="O17" s="231"/>
      <c r="P17" s="231"/>
      <c r="Q17" s="231"/>
      <c r="R17" s="232"/>
      <c r="S17" s="160" t="s">
        <v>85</v>
      </c>
      <c r="T17" s="222">
        <v>0</v>
      </c>
      <c r="U17" s="223"/>
      <c r="V17" s="210">
        <v>91806</v>
      </c>
      <c r="W17" s="47">
        <f>V17+T17</f>
        <v>91806</v>
      </c>
      <c r="X17">
        <v>1</v>
      </c>
      <c r="Z17" s="1"/>
    </row>
    <row r="18" spans="1:27" ht="41.25" customHeight="1">
      <c r="A18" s="33">
        <v>12</v>
      </c>
      <c r="B18" s="27" t="s">
        <v>105</v>
      </c>
      <c r="C18" s="40">
        <v>1</v>
      </c>
      <c r="D18" s="40"/>
      <c r="E18" s="40">
        <v>1</v>
      </c>
      <c r="F18" s="40">
        <v>12</v>
      </c>
      <c r="G18" s="27" t="s">
        <v>78</v>
      </c>
      <c r="H18" s="71">
        <v>5</v>
      </c>
      <c r="I18" s="71">
        <v>4</v>
      </c>
      <c r="J18" s="71">
        <v>1</v>
      </c>
      <c r="K18" s="71"/>
      <c r="L18" s="186"/>
      <c r="M18" s="233"/>
      <c r="N18" s="234"/>
      <c r="O18" s="234"/>
      <c r="P18" s="234"/>
      <c r="Q18" s="234"/>
      <c r="R18" s="235"/>
      <c r="S18" s="161"/>
      <c r="T18" s="226"/>
      <c r="U18" s="227"/>
      <c r="V18" s="211"/>
      <c r="W18" s="32"/>
      <c r="Z18" s="1"/>
    </row>
    <row r="19" spans="1:27" ht="50.1" customHeight="1">
      <c r="A19" s="33">
        <v>13</v>
      </c>
      <c r="B19" s="27" t="s">
        <v>117</v>
      </c>
      <c r="C19" s="40">
        <v>1</v>
      </c>
      <c r="D19" s="40"/>
      <c r="E19" s="40">
        <v>1</v>
      </c>
      <c r="F19" s="40">
        <v>13</v>
      </c>
      <c r="G19" s="27" t="s">
        <v>19</v>
      </c>
      <c r="H19" s="71">
        <v>2</v>
      </c>
      <c r="I19" s="71">
        <v>2</v>
      </c>
      <c r="J19" s="71"/>
      <c r="K19" s="71"/>
      <c r="L19" s="152">
        <v>6</v>
      </c>
      <c r="M19" s="212" t="s">
        <v>121</v>
      </c>
      <c r="N19" s="213"/>
      <c r="O19" s="213"/>
      <c r="P19" s="213"/>
      <c r="Q19" s="213"/>
      <c r="R19" s="214"/>
      <c r="S19" s="160" t="s">
        <v>85</v>
      </c>
      <c r="T19" s="222">
        <v>0</v>
      </c>
      <c r="U19" s="223"/>
      <c r="V19" s="206">
        <v>40481</v>
      </c>
      <c r="W19" s="32"/>
      <c r="Z19" s="1"/>
    </row>
    <row r="20" spans="1:27" ht="50.1" customHeight="1">
      <c r="A20" s="33">
        <v>14</v>
      </c>
      <c r="B20" s="31" t="s">
        <v>37</v>
      </c>
      <c r="C20" s="40">
        <v>1</v>
      </c>
      <c r="D20" s="40"/>
      <c r="E20" s="40">
        <v>1</v>
      </c>
      <c r="F20" s="40">
        <v>14</v>
      </c>
      <c r="G20" s="27" t="s">
        <v>59</v>
      </c>
      <c r="H20" s="71">
        <v>1</v>
      </c>
      <c r="I20" s="71"/>
      <c r="J20" s="71">
        <v>1</v>
      </c>
      <c r="K20" s="71"/>
      <c r="L20" s="187"/>
      <c r="M20" s="215"/>
      <c r="N20" s="216"/>
      <c r="O20" s="216"/>
      <c r="P20" s="216"/>
      <c r="Q20" s="216"/>
      <c r="R20" s="217"/>
      <c r="S20" s="221"/>
      <c r="T20" s="224"/>
      <c r="U20" s="225"/>
      <c r="V20" s="207"/>
      <c r="W20" s="47">
        <f>V19+T19</f>
        <v>40481</v>
      </c>
      <c r="Z20" s="1"/>
    </row>
    <row r="21" spans="1:27" ht="50.1" customHeight="1">
      <c r="A21" s="33">
        <v>15</v>
      </c>
      <c r="B21" s="14" t="s">
        <v>94</v>
      </c>
      <c r="C21" s="40">
        <v>1</v>
      </c>
      <c r="D21" s="40">
        <v>1</v>
      </c>
      <c r="E21" s="40"/>
      <c r="F21" s="40">
        <v>15</v>
      </c>
      <c r="G21" s="27" t="s">
        <v>92</v>
      </c>
      <c r="H21" s="71">
        <v>1</v>
      </c>
      <c r="I21" s="71">
        <v>1</v>
      </c>
      <c r="J21" s="73"/>
      <c r="K21" s="71"/>
      <c r="L21" s="187"/>
      <c r="M21" s="218"/>
      <c r="N21" s="219"/>
      <c r="O21" s="219"/>
      <c r="P21" s="219"/>
      <c r="Q21" s="219"/>
      <c r="R21" s="220"/>
      <c r="S21" s="161"/>
      <c r="T21" s="226"/>
      <c r="U21" s="227"/>
      <c r="V21" s="208"/>
      <c r="W21" s="32"/>
      <c r="Z21" s="1"/>
    </row>
    <row r="22" spans="1:27" ht="50.1" customHeight="1">
      <c r="A22" s="33">
        <v>16</v>
      </c>
      <c r="B22" s="27" t="s">
        <v>8</v>
      </c>
      <c r="C22" s="59">
        <v>12</v>
      </c>
      <c r="D22" s="40">
        <v>4</v>
      </c>
      <c r="E22" s="40">
        <v>8</v>
      </c>
      <c r="F22" s="40">
        <v>16</v>
      </c>
      <c r="G22" s="27" t="s">
        <v>7</v>
      </c>
      <c r="H22" s="71">
        <v>3</v>
      </c>
      <c r="I22" s="71">
        <v>3</v>
      </c>
      <c r="J22" s="71"/>
      <c r="K22" s="71"/>
      <c r="L22" s="152">
        <v>7</v>
      </c>
      <c r="M22" s="188" t="s">
        <v>138</v>
      </c>
      <c r="N22" s="189"/>
      <c r="O22" s="189"/>
      <c r="P22" s="189"/>
      <c r="Q22" s="189"/>
      <c r="R22" s="190"/>
      <c r="S22" s="197" t="s">
        <v>85</v>
      </c>
      <c r="T22" s="200">
        <v>1030</v>
      </c>
      <c r="U22" s="201"/>
      <c r="V22" s="206">
        <v>30146</v>
      </c>
      <c r="Z22" s="1"/>
    </row>
    <row r="23" spans="1:27" ht="50.1" customHeight="1">
      <c r="A23" s="33">
        <v>17</v>
      </c>
      <c r="B23" s="27" t="s">
        <v>63</v>
      </c>
      <c r="C23" s="59">
        <v>14</v>
      </c>
      <c r="D23" s="40">
        <v>7</v>
      </c>
      <c r="E23" s="40">
        <v>7</v>
      </c>
      <c r="F23" s="40">
        <v>17</v>
      </c>
      <c r="G23" s="27" t="s">
        <v>14</v>
      </c>
      <c r="H23" s="71">
        <v>4</v>
      </c>
      <c r="I23" s="71">
        <v>3</v>
      </c>
      <c r="J23" s="71"/>
      <c r="K23" s="71">
        <v>1</v>
      </c>
      <c r="L23" s="187"/>
      <c r="M23" s="191"/>
      <c r="N23" s="192"/>
      <c r="O23" s="192"/>
      <c r="P23" s="192"/>
      <c r="Q23" s="192"/>
      <c r="R23" s="193"/>
      <c r="S23" s="198"/>
      <c r="T23" s="202"/>
      <c r="U23" s="203"/>
      <c r="V23" s="207"/>
      <c r="W23" s="32"/>
      <c r="Z23" s="1"/>
    </row>
    <row r="24" spans="1:27" ht="41.25" customHeight="1">
      <c r="A24" s="33">
        <v>18</v>
      </c>
      <c r="B24" s="27" t="s">
        <v>17</v>
      </c>
      <c r="C24" s="40">
        <v>7</v>
      </c>
      <c r="D24" s="40">
        <v>5</v>
      </c>
      <c r="E24" s="40">
        <v>2</v>
      </c>
      <c r="F24" s="40">
        <v>18</v>
      </c>
      <c r="G24" s="27" t="s">
        <v>15</v>
      </c>
      <c r="H24" s="71">
        <v>1</v>
      </c>
      <c r="I24" s="71">
        <v>1</v>
      </c>
      <c r="J24" s="71"/>
      <c r="K24" s="71"/>
      <c r="L24" s="187"/>
      <c r="M24" s="191"/>
      <c r="N24" s="192"/>
      <c r="O24" s="192"/>
      <c r="P24" s="192"/>
      <c r="Q24" s="192"/>
      <c r="R24" s="193"/>
      <c r="S24" s="198"/>
      <c r="T24" s="202"/>
      <c r="U24" s="203"/>
      <c r="V24" s="207"/>
      <c r="W24" s="32"/>
      <c r="Z24" s="1">
        <v>35734</v>
      </c>
      <c r="AA24">
        <f>Z24/Z25</f>
        <v>0.30193748996611719</v>
      </c>
    </row>
    <row r="25" spans="1:27" s="6" customFormat="1" ht="48" customHeight="1">
      <c r="A25" s="33">
        <v>19</v>
      </c>
      <c r="B25" s="27" t="s">
        <v>43</v>
      </c>
      <c r="C25" s="40">
        <v>1</v>
      </c>
      <c r="D25" s="40"/>
      <c r="E25" s="40">
        <v>1</v>
      </c>
      <c r="F25" s="40">
        <v>19</v>
      </c>
      <c r="G25" s="27" t="s">
        <v>40</v>
      </c>
      <c r="H25" s="71">
        <v>2</v>
      </c>
      <c r="I25" s="71">
        <v>2</v>
      </c>
      <c r="J25" s="71"/>
      <c r="K25" s="71"/>
      <c r="L25" s="187"/>
      <c r="M25" s="191"/>
      <c r="N25" s="192"/>
      <c r="O25" s="192"/>
      <c r="P25" s="192"/>
      <c r="Q25" s="192"/>
      <c r="R25" s="193"/>
      <c r="S25" s="198"/>
      <c r="T25" s="202"/>
      <c r="U25" s="203"/>
      <c r="V25" s="207"/>
      <c r="W25" s="209">
        <f>V22+T22</f>
        <v>31176</v>
      </c>
      <c r="Z25" s="34">
        <v>118349</v>
      </c>
    </row>
    <row r="26" spans="1:27" s="6" customFormat="1" ht="42.75" customHeight="1">
      <c r="A26" s="33">
        <v>20</v>
      </c>
      <c r="B26" s="27" t="s">
        <v>45</v>
      </c>
      <c r="C26" s="40">
        <v>2</v>
      </c>
      <c r="D26" s="40">
        <v>1</v>
      </c>
      <c r="E26" s="40">
        <v>1</v>
      </c>
      <c r="F26" s="40">
        <v>20</v>
      </c>
      <c r="G26" s="27" t="s">
        <v>53</v>
      </c>
      <c r="H26" s="71">
        <v>20</v>
      </c>
      <c r="I26" s="71">
        <v>20</v>
      </c>
      <c r="J26" s="71"/>
      <c r="K26" s="71"/>
      <c r="L26" s="187"/>
      <c r="M26" s="191"/>
      <c r="N26" s="192"/>
      <c r="O26" s="192"/>
      <c r="P26" s="192"/>
      <c r="Q26" s="192"/>
      <c r="R26" s="193"/>
      <c r="S26" s="198"/>
      <c r="T26" s="202"/>
      <c r="U26" s="203"/>
      <c r="V26" s="207"/>
      <c r="W26" s="209"/>
      <c r="Z26" s="34"/>
    </row>
    <row r="27" spans="1:27" s="6" customFormat="1" ht="51.75" customHeight="1">
      <c r="A27" s="33">
        <v>21</v>
      </c>
      <c r="B27" s="27" t="s">
        <v>58</v>
      </c>
      <c r="C27" s="40">
        <v>1</v>
      </c>
      <c r="D27" s="40">
        <v>1</v>
      </c>
      <c r="E27" s="40"/>
      <c r="F27" s="40">
        <v>21</v>
      </c>
      <c r="G27" s="27" t="s">
        <v>54</v>
      </c>
      <c r="H27" s="71">
        <v>5</v>
      </c>
      <c r="I27" s="71">
        <v>5</v>
      </c>
      <c r="J27" s="71"/>
      <c r="K27" s="71"/>
      <c r="L27" s="153"/>
      <c r="M27" s="194"/>
      <c r="N27" s="195"/>
      <c r="O27" s="195"/>
      <c r="P27" s="195"/>
      <c r="Q27" s="195"/>
      <c r="R27" s="196"/>
      <c r="S27" s="199"/>
      <c r="T27" s="204"/>
      <c r="U27" s="205"/>
      <c r="V27" s="208"/>
      <c r="W27" s="209"/>
      <c r="Z27" s="34"/>
    </row>
    <row r="28" spans="1:27" ht="39.75" customHeight="1">
      <c r="A28" s="33">
        <v>22</v>
      </c>
      <c r="B28" s="27" t="s">
        <v>101</v>
      </c>
      <c r="C28" s="40">
        <v>1</v>
      </c>
      <c r="D28" s="40">
        <v>1</v>
      </c>
      <c r="E28" s="40"/>
      <c r="F28" s="40">
        <v>22</v>
      </c>
      <c r="G28" s="27" t="s">
        <v>55</v>
      </c>
      <c r="H28" s="71">
        <v>6</v>
      </c>
      <c r="I28" s="71">
        <v>6</v>
      </c>
      <c r="J28" s="71"/>
      <c r="K28" s="71"/>
      <c r="L28" s="168" t="s">
        <v>104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70"/>
      <c r="W28" s="32"/>
      <c r="Z28" s="1"/>
    </row>
    <row r="29" spans="1:27" ht="45" customHeight="1">
      <c r="A29" s="33">
        <v>23</v>
      </c>
      <c r="B29" s="27" t="s">
        <v>44</v>
      </c>
      <c r="C29" s="40">
        <v>2</v>
      </c>
      <c r="D29" s="40">
        <v>2</v>
      </c>
      <c r="E29" s="40"/>
      <c r="F29" s="40">
        <v>23</v>
      </c>
      <c r="G29" s="27" t="s">
        <v>73</v>
      </c>
      <c r="H29" s="71">
        <v>1</v>
      </c>
      <c r="I29" s="71">
        <v>1</v>
      </c>
      <c r="J29" s="71"/>
      <c r="K29" s="71"/>
      <c r="L29" s="40">
        <v>1</v>
      </c>
      <c r="M29" s="171" t="s">
        <v>120</v>
      </c>
      <c r="N29" s="172"/>
      <c r="O29" s="172"/>
      <c r="P29" s="172"/>
      <c r="Q29" s="172"/>
      <c r="R29" s="173"/>
      <c r="S29" s="49"/>
      <c r="T29" s="50"/>
      <c r="U29" s="51"/>
      <c r="V29" s="54"/>
      <c r="W29" s="178"/>
      <c r="Z29" s="1"/>
    </row>
    <row r="30" spans="1:27" ht="51.95" customHeight="1">
      <c r="A30" s="33">
        <v>24</v>
      </c>
      <c r="B30" s="27" t="s">
        <v>103</v>
      </c>
      <c r="C30" s="40">
        <v>1</v>
      </c>
      <c r="D30" s="40"/>
      <c r="E30" s="40">
        <v>1</v>
      </c>
      <c r="F30" s="40">
        <v>24</v>
      </c>
      <c r="G30" s="27" t="s">
        <v>97</v>
      </c>
      <c r="H30" s="71">
        <v>2</v>
      </c>
      <c r="I30" s="71"/>
      <c r="J30" s="71"/>
      <c r="K30" s="71"/>
      <c r="L30" s="152">
        <v>2</v>
      </c>
      <c r="M30" s="180" t="s">
        <v>119</v>
      </c>
      <c r="N30" s="181"/>
      <c r="O30" s="181"/>
      <c r="P30" s="181"/>
      <c r="Q30" s="181"/>
      <c r="R30" s="182"/>
      <c r="S30" s="160"/>
      <c r="T30" s="162"/>
      <c r="U30" s="163"/>
      <c r="V30" s="166"/>
      <c r="W30" s="179"/>
      <c r="Z30" s="1"/>
    </row>
    <row r="31" spans="1:27" ht="51.95" customHeight="1">
      <c r="A31" s="33">
        <v>25</v>
      </c>
      <c r="B31" s="27" t="s">
        <v>60</v>
      </c>
      <c r="C31" s="40">
        <v>3</v>
      </c>
      <c r="D31" s="40">
        <v>2</v>
      </c>
      <c r="E31" s="40">
        <v>1</v>
      </c>
      <c r="F31" s="40"/>
      <c r="G31" s="27"/>
      <c r="H31" s="27"/>
      <c r="I31" s="27"/>
      <c r="J31" s="27"/>
      <c r="K31" s="27"/>
      <c r="L31" s="153"/>
      <c r="M31" s="183"/>
      <c r="N31" s="184"/>
      <c r="O31" s="184"/>
      <c r="P31" s="184"/>
      <c r="Q31" s="184"/>
      <c r="R31" s="185"/>
      <c r="S31" s="161"/>
      <c r="T31" s="164"/>
      <c r="U31" s="165"/>
      <c r="V31" s="167"/>
      <c r="W31" s="179"/>
      <c r="Z31" s="1"/>
    </row>
    <row r="32" spans="1:27" ht="51.95" customHeight="1">
      <c r="A32" s="33">
        <v>26</v>
      </c>
      <c r="B32" s="27" t="s">
        <v>65</v>
      </c>
      <c r="C32" s="40">
        <v>3</v>
      </c>
      <c r="D32" s="40">
        <v>1</v>
      </c>
      <c r="E32" s="40">
        <v>2</v>
      </c>
      <c r="F32" s="40"/>
      <c r="G32" s="27"/>
      <c r="H32" s="27"/>
      <c r="I32" s="27"/>
      <c r="J32" s="27"/>
      <c r="K32" s="27"/>
      <c r="L32" s="186">
        <v>3</v>
      </c>
      <c r="M32" s="180" t="s">
        <v>128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33">
        <v>27</v>
      </c>
      <c r="B33" s="27" t="s">
        <v>62</v>
      </c>
      <c r="C33" s="40">
        <v>9</v>
      </c>
      <c r="D33" s="40">
        <v>6</v>
      </c>
      <c r="E33" s="40">
        <v>3</v>
      </c>
      <c r="F33" s="40"/>
      <c r="G33" s="27"/>
      <c r="H33" s="27"/>
      <c r="I33" s="27"/>
      <c r="J33" s="27"/>
      <c r="K33" s="27"/>
      <c r="L33" s="186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45" customHeight="1">
      <c r="A34" s="33">
        <v>28</v>
      </c>
      <c r="B34" s="27" t="s">
        <v>36</v>
      </c>
      <c r="C34" s="40">
        <v>1</v>
      </c>
      <c r="D34" s="40"/>
      <c r="E34" s="40">
        <v>1</v>
      </c>
      <c r="F34" s="40"/>
      <c r="G34" s="27"/>
      <c r="H34" s="27"/>
      <c r="I34" s="27"/>
      <c r="J34" s="27"/>
      <c r="K34" s="27"/>
      <c r="L34" s="152"/>
      <c r="M34" s="154"/>
      <c r="N34" s="155"/>
      <c r="O34" s="155"/>
      <c r="P34" s="155"/>
      <c r="Q34" s="155"/>
      <c r="R34" s="156"/>
      <c r="S34" s="160"/>
      <c r="T34" s="162"/>
      <c r="U34" s="163"/>
      <c r="V34" s="166"/>
      <c r="W34" s="16"/>
      <c r="Z34" s="1"/>
    </row>
    <row r="35" spans="1:27" ht="45" customHeight="1">
      <c r="A35" s="33">
        <v>29</v>
      </c>
      <c r="B35" s="27" t="s">
        <v>93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3"/>
      <c r="M35" s="157"/>
      <c r="N35" s="158"/>
      <c r="O35" s="158"/>
      <c r="P35" s="158"/>
      <c r="Q35" s="158"/>
      <c r="R35" s="159"/>
      <c r="S35" s="161"/>
      <c r="T35" s="164"/>
      <c r="U35" s="165"/>
      <c r="V35" s="167"/>
      <c r="W35" s="16"/>
      <c r="Z35" s="1"/>
    </row>
    <row r="36" spans="1:27" ht="45" customHeight="1">
      <c r="A36" s="33">
        <v>30</v>
      </c>
      <c r="B36" s="27" t="s">
        <v>46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27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  <c r="Z36" s="1"/>
    </row>
    <row r="37" spans="1:27" ht="45" customHeight="1">
      <c r="A37" s="33">
        <v>31</v>
      </c>
      <c r="B37" s="27" t="s">
        <v>95</v>
      </c>
      <c r="C37" s="40">
        <v>8</v>
      </c>
      <c r="D37" s="40"/>
      <c r="E37" s="40">
        <v>8</v>
      </c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45" customHeight="1">
      <c r="A38" s="33">
        <v>32</v>
      </c>
      <c r="B38" s="70" t="s">
        <v>118</v>
      </c>
      <c r="C38" s="64">
        <v>4</v>
      </c>
      <c r="D38" s="64">
        <v>4</v>
      </c>
      <c r="E38" s="64"/>
      <c r="F38" s="64"/>
      <c r="G38" s="70"/>
      <c r="H38" s="70"/>
      <c r="I38" s="70"/>
      <c r="J38" s="70"/>
      <c r="K38" s="7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93</v>
      </c>
      <c r="D39" s="61">
        <f>SUM(D7:D38)</f>
        <v>53</v>
      </c>
      <c r="E39" s="61">
        <f>SUM(E7:E38)</f>
        <v>39</v>
      </c>
      <c r="F39" s="151" t="s">
        <v>9</v>
      </c>
      <c r="G39" s="151"/>
      <c r="H39" s="75">
        <f>SUM(H7:H37)</f>
        <v>73</v>
      </c>
      <c r="I39" s="60">
        <f>SUM(I7:I37)</f>
        <v>61</v>
      </c>
      <c r="J39" s="75">
        <f>SUM(J7:J37)</f>
        <v>8</v>
      </c>
      <c r="K39" s="75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05" customHeight="1">
      <c r="A42" s="13">
        <v>1</v>
      </c>
      <c r="B42" s="74" t="s">
        <v>135</v>
      </c>
      <c r="C42" s="134"/>
      <c r="D42" s="135"/>
      <c r="E42" s="109">
        <v>96</v>
      </c>
      <c r="F42" s="111"/>
      <c r="G42" s="110"/>
      <c r="H42" s="134"/>
      <c r="I42" s="136"/>
      <c r="J42" s="135"/>
      <c r="K42" s="134">
        <v>95.5</v>
      </c>
      <c r="L42" s="136"/>
      <c r="M42" s="136"/>
      <c r="N42" s="135"/>
      <c r="O42" s="137" t="s">
        <v>133</v>
      </c>
      <c r="P42" s="138"/>
      <c r="Q42" s="138"/>
      <c r="R42" s="139"/>
      <c r="S42" s="56" t="s">
        <v>88</v>
      </c>
      <c r="T42" s="56" t="s">
        <v>129</v>
      </c>
      <c r="U42" s="57" t="s">
        <v>131</v>
      </c>
      <c r="V42" s="58" t="s">
        <v>130</v>
      </c>
      <c r="W42" s="25">
        <f>K42+H42</f>
        <v>95.5</v>
      </c>
      <c r="Y42" s="8"/>
    </row>
    <row r="43" spans="1:27" ht="110.25" customHeight="1">
      <c r="A43" s="13">
        <v>2</v>
      </c>
      <c r="B43" s="74" t="s">
        <v>136</v>
      </c>
      <c r="C43" s="117"/>
      <c r="D43" s="118"/>
      <c r="E43" s="109">
        <v>2527</v>
      </c>
      <c r="F43" s="111"/>
      <c r="G43" s="110"/>
      <c r="H43" s="134"/>
      <c r="I43" s="136"/>
      <c r="J43" s="135"/>
      <c r="K43" s="134">
        <v>671</v>
      </c>
      <c r="L43" s="136"/>
      <c r="M43" s="136"/>
      <c r="N43" s="135"/>
      <c r="O43" s="140" t="s">
        <v>134</v>
      </c>
      <c r="P43" s="141"/>
      <c r="Q43" s="141"/>
      <c r="R43" s="142"/>
      <c r="S43" s="56" t="s">
        <v>88</v>
      </c>
      <c r="T43" s="56" t="s">
        <v>129</v>
      </c>
      <c r="U43" s="57" t="s">
        <v>132</v>
      </c>
      <c r="V43" s="58" t="s">
        <v>130</v>
      </c>
      <c r="W43" s="22">
        <f t="shared" ref="W43:W50" si="2">K43+H43</f>
        <v>671</v>
      </c>
      <c r="X43" s="2"/>
      <c r="Y43" s="7"/>
      <c r="Z43" s="7"/>
      <c r="AA43" s="9"/>
    </row>
    <row r="44" spans="1:27" ht="90.75" customHeight="1">
      <c r="A44" s="13">
        <v>3</v>
      </c>
      <c r="B44" s="74" t="s">
        <v>80</v>
      </c>
      <c r="C44" s="122"/>
      <c r="D44" s="123"/>
      <c r="E44" s="109">
        <v>118000</v>
      </c>
      <c r="F44" s="111"/>
      <c r="G44" s="110"/>
      <c r="H44" s="109">
        <f>220+220+200+220</f>
        <v>860</v>
      </c>
      <c r="I44" s="111"/>
      <c r="J44" s="110"/>
      <c r="K44" s="109">
        <v>111986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22">
        <f>K44+H44</f>
        <v>112846</v>
      </c>
      <c r="X44" s="2"/>
      <c r="Y44" s="7"/>
      <c r="Z44" s="7"/>
      <c r="AA44" s="9"/>
    </row>
    <row r="45" spans="1:27" ht="45.75" customHeight="1">
      <c r="A45" s="13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/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2.25" customHeight="1">
      <c r="A46" s="13">
        <v>5</v>
      </c>
      <c r="B46" s="74" t="s">
        <v>114</v>
      </c>
      <c r="C46" s="122"/>
      <c r="D46" s="123"/>
      <c r="E46" s="109">
        <v>1162</v>
      </c>
      <c r="F46" s="111"/>
      <c r="G46" s="110"/>
      <c r="H46" s="109"/>
      <c r="I46" s="111"/>
      <c r="J46" s="110"/>
      <c r="K46" s="109">
        <v>1162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1162</v>
      </c>
      <c r="X46" s="2"/>
      <c r="Y46" s="7"/>
      <c r="Z46" s="7"/>
      <c r="AA46" s="9"/>
    </row>
    <row r="47" spans="1:27" ht="72.75" customHeight="1">
      <c r="A47" s="13">
        <v>6</v>
      </c>
      <c r="B47" s="74" t="s">
        <v>115</v>
      </c>
      <c r="C47" s="122">
        <v>84</v>
      </c>
      <c r="D47" s="123"/>
      <c r="E47" s="109">
        <v>6608</v>
      </c>
      <c r="F47" s="111"/>
      <c r="G47" s="110"/>
      <c r="H47" s="109">
        <v>84</v>
      </c>
      <c r="I47" s="111"/>
      <c r="J47" s="110"/>
      <c r="K47" s="109">
        <v>6608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6692</v>
      </c>
      <c r="X47" s="2"/>
      <c r="Y47" s="7"/>
      <c r="Z47" s="7"/>
      <c r="AA47" s="9"/>
    </row>
    <row r="48" spans="1:27" ht="49.5" customHeight="1">
      <c r="A48" s="13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57" customHeight="1">
      <c r="A49" s="13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57" customHeight="1">
      <c r="A50" s="13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112"/>
      <c r="P50" s="112"/>
      <c r="Q50" s="112"/>
      <c r="R50" s="112"/>
      <c r="S50" s="112"/>
      <c r="T50" s="112"/>
      <c r="U50" s="112"/>
      <c r="V50" s="113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42.7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4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5" t="s">
        <v>67</v>
      </c>
      <c r="P54" s="105"/>
      <c r="Q54" s="105"/>
      <c r="R54" s="105"/>
      <c r="S54" s="105"/>
      <c r="T54" s="105"/>
      <c r="U54" s="105"/>
      <c r="V54" s="106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5"/>
      <c r="P55" s="105"/>
      <c r="Q55" s="105"/>
      <c r="R55" s="105"/>
      <c r="S55" s="105"/>
      <c r="T55" s="105"/>
      <c r="U55" s="105"/>
      <c r="V55" s="106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/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7"/>
      <c r="P58" s="107"/>
      <c r="Q58" s="107"/>
      <c r="R58" s="107"/>
      <c r="S58" s="107"/>
      <c r="T58" s="107"/>
      <c r="U58" s="107"/>
      <c r="V58" s="108"/>
    </row>
    <row r="61" spans="1:27">
      <c r="S61" s="28"/>
      <c r="T61" s="28"/>
      <c r="U61" s="28"/>
    </row>
    <row r="62" spans="1:27">
      <c r="G62" s="12" t="s">
        <v>58</v>
      </c>
      <c r="H62" s="24">
        <v>1</v>
      </c>
      <c r="I62" s="24"/>
      <c r="J62" s="24">
        <v>1</v>
      </c>
      <c r="S62" s="28"/>
      <c r="T62" s="28">
        <v>17</v>
      </c>
      <c r="U62" s="29"/>
    </row>
    <row r="63" spans="1:27">
      <c r="G63" s="12" t="s">
        <v>103</v>
      </c>
      <c r="H63" s="24">
        <v>1</v>
      </c>
      <c r="I63" s="24">
        <v>1</v>
      </c>
      <c r="J63" s="24"/>
      <c r="S63" s="28"/>
      <c r="T63" s="28">
        <v>17</v>
      </c>
      <c r="U63" s="30"/>
    </row>
    <row r="64" spans="1:27">
      <c r="G64" s="12" t="s">
        <v>44</v>
      </c>
      <c r="H64" s="24">
        <v>2</v>
      </c>
      <c r="I64" s="24">
        <v>2</v>
      </c>
      <c r="J64" s="24"/>
      <c r="S64" s="28"/>
      <c r="T64" s="28">
        <v>17</v>
      </c>
      <c r="U64" s="28"/>
    </row>
    <row r="65" spans="1:31">
      <c r="G65" s="12" t="s">
        <v>8</v>
      </c>
      <c r="H65" s="24">
        <v>8</v>
      </c>
      <c r="I65" s="24">
        <v>8</v>
      </c>
      <c r="J65" s="24"/>
      <c r="T65" s="3">
        <v>17</v>
      </c>
    </row>
    <row r="66" spans="1:31">
      <c r="G66" s="12" t="s">
        <v>101</v>
      </c>
      <c r="H66" s="24">
        <v>1</v>
      </c>
      <c r="I66" s="24">
        <v>1</v>
      </c>
      <c r="J66" s="24"/>
      <c r="T66" s="3">
        <v>19</v>
      </c>
    </row>
    <row r="67" spans="1:31">
      <c r="G67" s="12" t="s">
        <v>63</v>
      </c>
      <c r="H67" s="24">
        <v>8</v>
      </c>
      <c r="I67" s="24">
        <v>7</v>
      </c>
      <c r="J67" s="24">
        <v>1</v>
      </c>
      <c r="T67" s="3">
        <v>20</v>
      </c>
    </row>
    <row r="68" spans="1:31">
      <c r="G68" s="12" t="s">
        <v>17</v>
      </c>
      <c r="H68" s="24">
        <v>7</v>
      </c>
      <c r="I68" s="24">
        <v>6</v>
      </c>
      <c r="J68" s="24">
        <v>1</v>
      </c>
      <c r="T68" s="3">
        <v>21</v>
      </c>
    </row>
    <row r="69" spans="1:31">
      <c r="G69" s="12" t="s">
        <v>65</v>
      </c>
      <c r="H69" s="24">
        <v>2</v>
      </c>
      <c r="I69" s="24">
        <v>2</v>
      </c>
      <c r="J69" s="24"/>
      <c r="T69" s="3">
        <v>18</v>
      </c>
    </row>
    <row r="70" spans="1:31">
      <c r="G70" s="12" t="s">
        <v>62</v>
      </c>
      <c r="H70" s="24">
        <v>7</v>
      </c>
      <c r="I70" s="24">
        <v>6</v>
      </c>
      <c r="J70" s="24">
        <v>1</v>
      </c>
      <c r="T70" s="3">
        <v>18.600000000000001</v>
      </c>
    </row>
    <row r="71" spans="1:31" s="3" customFormat="1">
      <c r="A71"/>
      <c r="B71" s="15"/>
      <c r="G71" s="12" t="s">
        <v>36</v>
      </c>
      <c r="H71" s="24">
        <f>J72+I71</f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43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45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93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46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60</v>
      </c>
      <c r="H76" s="24">
        <v>4</v>
      </c>
      <c r="I76" s="24">
        <v>4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48</v>
      </c>
      <c r="H77" s="24">
        <v>1</v>
      </c>
      <c r="I77" s="24"/>
      <c r="J77" s="24">
        <v>1</v>
      </c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95</v>
      </c>
      <c r="H78" s="24">
        <v>6</v>
      </c>
      <c r="I78" s="24">
        <v>6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47"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V17:V18"/>
    <mergeCell ref="L19:L21"/>
    <mergeCell ref="M19:R21"/>
    <mergeCell ref="S19:S21"/>
    <mergeCell ref="T19:U21"/>
    <mergeCell ref="V19:V21"/>
    <mergeCell ref="M16:R16"/>
    <mergeCell ref="T16:U16"/>
    <mergeCell ref="L17:L18"/>
    <mergeCell ref="M17:R18"/>
    <mergeCell ref="S17:S18"/>
    <mergeCell ref="T17:U18"/>
    <mergeCell ref="W29:W33"/>
    <mergeCell ref="L30:L31"/>
    <mergeCell ref="M30:R31"/>
    <mergeCell ref="S30:S31"/>
    <mergeCell ref="T30:U31"/>
    <mergeCell ref="V30:V31"/>
    <mergeCell ref="L32:L33"/>
    <mergeCell ref="M32:R33"/>
    <mergeCell ref="L22:L27"/>
    <mergeCell ref="M22:R27"/>
    <mergeCell ref="S22:S27"/>
    <mergeCell ref="T22:U27"/>
    <mergeCell ref="V22:V27"/>
    <mergeCell ref="W25:W27"/>
    <mergeCell ref="S32:S33"/>
    <mergeCell ref="T32:U33"/>
    <mergeCell ref="V32:V33"/>
    <mergeCell ref="L34:L35"/>
    <mergeCell ref="M34:R35"/>
    <mergeCell ref="S34:S35"/>
    <mergeCell ref="T34:U35"/>
    <mergeCell ref="V34:V35"/>
    <mergeCell ref="L28:V28"/>
    <mergeCell ref="M29:R29"/>
    <mergeCell ref="A40:N40"/>
    <mergeCell ref="O40:V40"/>
    <mergeCell ref="C41:D41"/>
    <mergeCell ref="E41:G41"/>
    <mergeCell ref="H41:J41"/>
    <mergeCell ref="K41:N41"/>
    <mergeCell ref="O41:R41"/>
    <mergeCell ref="M36:R36"/>
    <mergeCell ref="M37:R37"/>
    <mergeCell ref="M38:R38"/>
    <mergeCell ref="A39:B39"/>
    <mergeCell ref="F39:G39"/>
    <mergeCell ref="M39:R39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A52:V52"/>
    <mergeCell ref="A53:N53"/>
    <mergeCell ref="O53:V53"/>
    <mergeCell ref="A54:N58"/>
    <mergeCell ref="O54:V58"/>
    <mergeCell ref="C50:D50"/>
    <mergeCell ref="E50:G50"/>
    <mergeCell ref="H50:J50"/>
    <mergeCell ref="K50:N50"/>
    <mergeCell ref="O50:V50"/>
    <mergeCell ref="A51:V51"/>
  </mergeCells>
  <printOptions horizontalCentered="1"/>
  <pageMargins left="0.25" right="0.25" top="0" bottom="2.2999999999999998" header="0" footer="0"/>
  <pageSetup paperSize="5" scale="25" orientation="portrait" r:id="rId1"/>
  <rowBreaks count="1" manualBreakCount="1">
    <brk id="30" max="20" man="1"/>
  </rowBreaks>
  <colBreaks count="1" manualBreakCount="1">
    <brk id="18" max="5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5AF9-41D2-461B-9CB6-CA4F9F092209}">
  <dimension ref="A1:AH111"/>
  <sheetViews>
    <sheetView rightToLeft="1" view="pageBreakPreview" zoomScale="55" zoomScaleNormal="110" zoomScaleSheetLayoutView="55" workbookViewId="0">
      <selection activeCell="S22" sqref="S22:S27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9.140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2" width="10.7109375" style="3" customWidth="1"/>
    <col min="13" max="14" width="4.7109375" style="3" customWidth="1"/>
    <col min="15" max="16" width="10.7109375" style="3" customWidth="1"/>
    <col min="17" max="17" width="13.5703125" style="3" customWidth="1"/>
    <col min="18" max="18" width="25.7109375" style="3" customWidth="1"/>
    <col min="19" max="19" width="27.85546875" style="3" customWidth="1"/>
    <col min="20" max="21" width="25.7109375" style="3" customWidth="1"/>
    <col min="22" max="22" width="36.5703125" style="3" customWidth="1"/>
    <col min="23" max="23" width="25.140625" style="20" customWidth="1"/>
    <col min="25" max="25" width="13.42578125" customWidth="1"/>
    <col min="26" max="26" width="12.7109375" bestFit="1" customWidth="1"/>
    <col min="27" max="27" width="12.42578125" customWidth="1"/>
    <col min="28" max="28" width="17.5703125" customWidth="1"/>
    <col min="29" max="33" width="13.57031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140</v>
      </c>
      <c r="S1" s="297"/>
      <c r="T1" s="300" t="s">
        <v>139</v>
      </c>
      <c r="U1" s="300"/>
      <c r="V1" s="302" t="s">
        <v>141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303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303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142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273" t="s">
        <v>2</v>
      </c>
      <c r="M7" s="274" t="s">
        <v>28</v>
      </c>
      <c r="N7" s="275"/>
      <c r="O7" s="275"/>
      <c r="P7" s="275"/>
      <c r="Q7" s="275"/>
      <c r="R7" s="275"/>
      <c r="S7" s="278" t="s">
        <v>26</v>
      </c>
      <c r="T7" s="280" t="s">
        <v>27</v>
      </c>
      <c r="U7" s="280"/>
      <c r="V7" s="282" t="s">
        <v>82</v>
      </c>
      <c r="W7" s="19"/>
    </row>
    <row r="8" spans="1:34" ht="4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273"/>
      <c r="M8" s="276"/>
      <c r="N8" s="277"/>
      <c r="O8" s="277"/>
      <c r="P8" s="277"/>
      <c r="Q8" s="277"/>
      <c r="R8" s="277"/>
      <c r="S8" s="279"/>
      <c r="T8" s="281"/>
      <c r="U8" s="281"/>
      <c r="V8" s="283"/>
      <c r="W8" s="19"/>
      <c r="AA8" s="6"/>
      <c r="AB8" s="6"/>
      <c r="AC8" s="6"/>
      <c r="AD8" s="6"/>
      <c r="AE8" s="6"/>
    </row>
    <row r="9" spans="1:34" ht="4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/>
      <c r="J9" s="71">
        <v>1</v>
      </c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251" t="s">
        <v>57</v>
      </c>
      <c r="T9" s="252">
        <v>0</v>
      </c>
      <c r="U9" s="252"/>
      <c r="V9" s="210">
        <v>492480</v>
      </c>
      <c r="X9" s="5"/>
      <c r="Y9" s="5">
        <v>3000</v>
      </c>
      <c r="Z9" s="5"/>
    </row>
    <row r="10" spans="1:34" ht="4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/>
      <c r="J10" s="71">
        <v>1</v>
      </c>
      <c r="K10" s="71"/>
      <c r="L10" s="186"/>
      <c r="M10" s="250"/>
      <c r="N10" s="250"/>
      <c r="O10" s="250"/>
      <c r="P10" s="250"/>
      <c r="Q10" s="250"/>
      <c r="R10" s="250"/>
      <c r="S10" s="251"/>
      <c r="T10" s="252"/>
      <c r="U10" s="252"/>
      <c r="V10" s="211"/>
      <c r="W10" s="19"/>
      <c r="AA10" s="6"/>
      <c r="AB10" s="6"/>
      <c r="AC10" s="6"/>
      <c r="AD10" s="6"/>
      <c r="AE10" s="6"/>
    </row>
    <row r="11" spans="1:34" ht="54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2</v>
      </c>
      <c r="J11" s="71">
        <v>4</v>
      </c>
      <c r="K11" s="71"/>
      <c r="L11" s="186">
        <v>2</v>
      </c>
      <c r="M11" s="337" t="s">
        <v>143</v>
      </c>
      <c r="N11" s="338"/>
      <c r="O11" s="338"/>
      <c r="P11" s="338"/>
      <c r="Q11" s="338"/>
      <c r="R11" s="339"/>
      <c r="S11" s="243" t="s">
        <v>57</v>
      </c>
      <c r="T11" s="200">
        <v>0</v>
      </c>
      <c r="U11" s="201"/>
      <c r="V11" s="210">
        <v>170625</v>
      </c>
      <c r="W11" s="236">
        <f>V11+T11</f>
        <v>170625</v>
      </c>
      <c r="AA11" s="6"/>
      <c r="AB11" s="6"/>
      <c r="AC11" s="6"/>
      <c r="AD11" s="6"/>
      <c r="AE11" s="6"/>
    </row>
    <row r="12" spans="1:34" ht="51.75" customHeight="1">
      <c r="A12" s="33">
        <v>6</v>
      </c>
      <c r="B12" s="69" t="s">
        <v>39</v>
      </c>
      <c r="C12" s="40">
        <v>1</v>
      </c>
      <c r="D12" s="40"/>
      <c r="E12" s="40">
        <v>1</v>
      </c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340"/>
      <c r="N12" s="341"/>
      <c r="O12" s="341"/>
      <c r="P12" s="341"/>
      <c r="Q12" s="341"/>
      <c r="R12" s="342"/>
      <c r="S12" s="262"/>
      <c r="T12" s="202"/>
      <c r="U12" s="203"/>
      <c r="V12" s="263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1.5" customHeight="1">
      <c r="A13" s="33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72">
        <v>1</v>
      </c>
      <c r="I13" s="72">
        <v>1</v>
      </c>
      <c r="J13" s="72"/>
      <c r="K13" s="71"/>
      <c r="L13" s="186"/>
      <c r="M13" s="340"/>
      <c r="N13" s="341"/>
      <c r="O13" s="341"/>
      <c r="P13" s="341"/>
      <c r="Q13" s="341"/>
      <c r="R13" s="342"/>
      <c r="S13" s="262"/>
      <c r="T13" s="202"/>
      <c r="U13" s="203"/>
      <c r="V13" s="263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68.25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1</v>
      </c>
      <c r="J14" s="71"/>
      <c r="K14" s="71">
        <v>1</v>
      </c>
      <c r="L14" s="186"/>
      <c r="M14" s="343"/>
      <c r="N14" s="344"/>
      <c r="O14" s="344"/>
      <c r="P14" s="344"/>
      <c r="Q14" s="344"/>
      <c r="R14" s="345"/>
      <c r="S14" s="244"/>
      <c r="T14" s="204"/>
      <c r="U14" s="205"/>
      <c r="V14" s="211"/>
      <c r="W14" s="236"/>
    </row>
    <row r="15" spans="1:34" ht="81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334" t="s">
        <v>126</v>
      </c>
      <c r="N15" s="335"/>
      <c r="O15" s="335"/>
      <c r="P15" s="335"/>
      <c r="Q15" s="335"/>
      <c r="R15" s="336"/>
      <c r="S15" s="35" t="s">
        <v>85</v>
      </c>
      <c r="T15" s="248">
        <v>0</v>
      </c>
      <c r="U15" s="249"/>
      <c r="V15" s="36">
        <v>51330</v>
      </c>
      <c r="W15" s="39">
        <f>V15+T15</f>
        <v>51330</v>
      </c>
    </row>
    <row r="16" spans="1:34" ht="75.75" customHeight="1">
      <c r="A16" s="33">
        <v>10</v>
      </c>
      <c r="B16" s="67" t="s">
        <v>113</v>
      </c>
      <c r="C16" s="40">
        <v>1</v>
      </c>
      <c r="D16" s="40">
        <v>1</v>
      </c>
      <c r="E16" s="40"/>
      <c r="F16" s="40">
        <v>10</v>
      </c>
      <c r="G16" s="24" t="s">
        <v>70</v>
      </c>
      <c r="H16" s="71">
        <v>3</v>
      </c>
      <c r="I16" s="71">
        <v>2</v>
      </c>
      <c r="J16" s="71">
        <v>1</v>
      </c>
      <c r="K16" s="71"/>
      <c r="L16" s="40">
        <v>4</v>
      </c>
      <c r="M16" s="129" t="s">
        <v>116</v>
      </c>
      <c r="N16" s="130"/>
      <c r="O16" s="130"/>
      <c r="P16" s="130"/>
      <c r="Q16" s="130"/>
      <c r="R16" s="131"/>
      <c r="S16" s="35" t="s">
        <v>85</v>
      </c>
      <c r="T16" s="228">
        <v>0</v>
      </c>
      <c r="U16" s="229"/>
      <c r="V16" s="36">
        <v>43476</v>
      </c>
      <c r="W16" s="47">
        <f>V16+T16</f>
        <v>43476</v>
      </c>
    </row>
    <row r="17" spans="1:27" ht="43.5" customHeight="1">
      <c r="A17" s="33">
        <v>11</v>
      </c>
      <c r="B17" s="27" t="s">
        <v>21</v>
      </c>
      <c r="C17" s="40">
        <v>2</v>
      </c>
      <c r="D17" s="40">
        <v>2</v>
      </c>
      <c r="E17" s="40"/>
      <c r="F17" s="40">
        <v>11</v>
      </c>
      <c r="G17" s="27" t="s">
        <v>102</v>
      </c>
      <c r="H17" s="71">
        <v>2</v>
      </c>
      <c r="I17" s="71">
        <v>2</v>
      </c>
      <c r="J17" s="71"/>
      <c r="K17" s="71"/>
      <c r="L17" s="186">
        <v>5</v>
      </c>
      <c r="M17" s="328" t="s">
        <v>127</v>
      </c>
      <c r="N17" s="329"/>
      <c r="O17" s="329"/>
      <c r="P17" s="329"/>
      <c r="Q17" s="329"/>
      <c r="R17" s="330"/>
      <c r="S17" s="160" t="s">
        <v>85</v>
      </c>
      <c r="T17" s="222">
        <v>0</v>
      </c>
      <c r="U17" s="223"/>
      <c r="V17" s="210">
        <v>91806</v>
      </c>
      <c r="W17" s="47">
        <f>V17+T17</f>
        <v>91806</v>
      </c>
      <c r="X17">
        <v>1</v>
      </c>
      <c r="Z17" s="1"/>
    </row>
    <row r="18" spans="1:27" ht="41.25" customHeight="1">
      <c r="A18" s="33">
        <v>12</v>
      </c>
      <c r="B18" s="27" t="s">
        <v>105</v>
      </c>
      <c r="C18" s="40">
        <v>1</v>
      </c>
      <c r="D18" s="40"/>
      <c r="E18" s="40">
        <v>1</v>
      </c>
      <c r="F18" s="40">
        <v>12</v>
      </c>
      <c r="G18" s="27" t="s">
        <v>78</v>
      </c>
      <c r="H18" s="71">
        <v>5</v>
      </c>
      <c r="I18" s="71">
        <v>4</v>
      </c>
      <c r="J18" s="71">
        <v>1</v>
      </c>
      <c r="K18" s="71"/>
      <c r="L18" s="186"/>
      <c r="M18" s="331"/>
      <c r="N18" s="332"/>
      <c r="O18" s="332"/>
      <c r="P18" s="332"/>
      <c r="Q18" s="332"/>
      <c r="R18" s="333"/>
      <c r="S18" s="161"/>
      <c r="T18" s="226"/>
      <c r="U18" s="227"/>
      <c r="V18" s="211"/>
      <c r="W18" s="32"/>
      <c r="Z18" s="1"/>
    </row>
    <row r="19" spans="1:27" ht="50.1" customHeight="1">
      <c r="A19" s="33">
        <v>13</v>
      </c>
      <c r="B19" s="27" t="s">
        <v>117</v>
      </c>
      <c r="C19" s="40">
        <v>1</v>
      </c>
      <c r="D19" s="40"/>
      <c r="E19" s="40">
        <v>1</v>
      </c>
      <c r="F19" s="40">
        <v>13</v>
      </c>
      <c r="G19" s="27" t="s">
        <v>19</v>
      </c>
      <c r="H19" s="71">
        <v>2</v>
      </c>
      <c r="I19" s="71">
        <v>2</v>
      </c>
      <c r="J19" s="71"/>
      <c r="K19" s="71"/>
      <c r="L19" s="152">
        <v>6</v>
      </c>
      <c r="M19" s="319" t="s">
        <v>121</v>
      </c>
      <c r="N19" s="320"/>
      <c r="O19" s="320"/>
      <c r="P19" s="320"/>
      <c r="Q19" s="320"/>
      <c r="R19" s="321"/>
      <c r="S19" s="160" t="s">
        <v>85</v>
      </c>
      <c r="T19" s="222">
        <v>0</v>
      </c>
      <c r="U19" s="223"/>
      <c r="V19" s="206">
        <v>40481</v>
      </c>
      <c r="W19" s="32"/>
      <c r="Z19" s="1"/>
    </row>
    <row r="20" spans="1:27" ht="50.1" customHeight="1">
      <c r="A20" s="33">
        <v>14</v>
      </c>
      <c r="B20" s="31" t="s">
        <v>37</v>
      </c>
      <c r="C20" s="40">
        <v>1</v>
      </c>
      <c r="D20" s="40"/>
      <c r="E20" s="40">
        <v>1</v>
      </c>
      <c r="F20" s="40">
        <v>14</v>
      </c>
      <c r="G20" s="27" t="s">
        <v>59</v>
      </c>
      <c r="H20" s="71">
        <v>1</v>
      </c>
      <c r="I20" s="71"/>
      <c r="J20" s="71">
        <v>1</v>
      </c>
      <c r="K20" s="71"/>
      <c r="L20" s="187"/>
      <c r="M20" s="322"/>
      <c r="N20" s="323"/>
      <c r="O20" s="323"/>
      <c r="P20" s="323"/>
      <c r="Q20" s="323"/>
      <c r="R20" s="324"/>
      <c r="S20" s="221"/>
      <c r="T20" s="224"/>
      <c r="U20" s="225"/>
      <c r="V20" s="207"/>
      <c r="W20" s="47">
        <f>V19+T19</f>
        <v>40481</v>
      </c>
      <c r="Z20" s="1"/>
    </row>
    <row r="21" spans="1:27" ht="50.1" customHeight="1">
      <c r="A21" s="33">
        <v>15</v>
      </c>
      <c r="B21" s="14" t="s">
        <v>94</v>
      </c>
      <c r="C21" s="40">
        <v>1</v>
      </c>
      <c r="D21" s="40">
        <v>1</v>
      </c>
      <c r="E21" s="40"/>
      <c r="F21" s="40">
        <v>15</v>
      </c>
      <c r="G21" s="27" t="s">
        <v>92</v>
      </c>
      <c r="H21" s="71">
        <v>1</v>
      </c>
      <c r="I21" s="71">
        <v>1</v>
      </c>
      <c r="J21" s="73"/>
      <c r="K21" s="71"/>
      <c r="L21" s="187"/>
      <c r="M21" s="325"/>
      <c r="N21" s="326"/>
      <c r="O21" s="326"/>
      <c r="P21" s="326"/>
      <c r="Q21" s="326"/>
      <c r="R21" s="327"/>
      <c r="S21" s="161"/>
      <c r="T21" s="226"/>
      <c r="U21" s="227"/>
      <c r="V21" s="208"/>
      <c r="W21" s="32"/>
      <c r="Z21" s="1"/>
    </row>
    <row r="22" spans="1:27" ht="50.1" customHeight="1">
      <c r="A22" s="33">
        <v>16</v>
      </c>
      <c r="B22" s="27" t="s">
        <v>8</v>
      </c>
      <c r="C22" s="59">
        <v>12</v>
      </c>
      <c r="D22" s="40">
        <v>4</v>
      </c>
      <c r="E22" s="40">
        <v>8</v>
      </c>
      <c r="F22" s="40">
        <v>16</v>
      </c>
      <c r="G22" s="27" t="s">
        <v>7</v>
      </c>
      <c r="H22" s="71">
        <v>3</v>
      </c>
      <c r="I22" s="71">
        <v>3</v>
      </c>
      <c r="J22" s="71"/>
      <c r="K22" s="71"/>
      <c r="L22" s="152">
        <v>7</v>
      </c>
      <c r="M22" s="310" t="s">
        <v>144</v>
      </c>
      <c r="N22" s="311"/>
      <c r="O22" s="311"/>
      <c r="P22" s="311"/>
      <c r="Q22" s="311"/>
      <c r="R22" s="312"/>
      <c r="S22" s="197" t="s">
        <v>85</v>
      </c>
      <c r="T22" s="200">
        <v>0</v>
      </c>
      <c r="U22" s="201"/>
      <c r="V22" s="206">
        <v>30146</v>
      </c>
      <c r="Z22" s="1"/>
    </row>
    <row r="23" spans="1:27" ht="50.1" customHeight="1">
      <c r="A23" s="33">
        <v>17</v>
      </c>
      <c r="B23" s="27" t="s">
        <v>63</v>
      </c>
      <c r="C23" s="59">
        <v>14</v>
      </c>
      <c r="D23" s="40">
        <v>7</v>
      </c>
      <c r="E23" s="40">
        <v>7</v>
      </c>
      <c r="F23" s="40">
        <v>17</v>
      </c>
      <c r="G23" s="27" t="s">
        <v>14</v>
      </c>
      <c r="H23" s="71">
        <v>4</v>
      </c>
      <c r="I23" s="71">
        <v>3</v>
      </c>
      <c r="J23" s="71"/>
      <c r="K23" s="71">
        <v>1</v>
      </c>
      <c r="L23" s="187"/>
      <c r="M23" s="313"/>
      <c r="N23" s="314"/>
      <c r="O23" s="314"/>
      <c r="P23" s="314"/>
      <c r="Q23" s="314"/>
      <c r="R23" s="315"/>
      <c r="S23" s="198"/>
      <c r="T23" s="202"/>
      <c r="U23" s="203"/>
      <c r="V23" s="207"/>
      <c r="W23" s="32"/>
      <c r="Z23" s="1"/>
    </row>
    <row r="24" spans="1:27" ht="41.25" customHeight="1">
      <c r="A24" s="33">
        <v>18</v>
      </c>
      <c r="B24" s="27" t="s">
        <v>17</v>
      </c>
      <c r="C24" s="40">
        <v>7</v>
      </c>
      <c r="D24" s="40">
        <v>5</v>
      </c>
      <c r="E24" s="40">
        <v>2</v>
      </c>
      <c r="F24" s="40">
        <v>18</v>
      </c>
      <c r="G24" s="27" t="s">
        <v>15</v>
      </c>
      <c r="H24" s="71">
        <v>1</v>
      </c>
      <c r="I24" s="71">
        <v>1</v>
      </c>
      <c r="J24" s="71"/>
      <c r="K24" s="71"/>
      <c r="L24" s="187"/>
      <c r="M24" s="313"/>
      <c r="N24" s="314"/>
      <c r="O24" s="314"/>
      <c r="P24" s="314"/>
      <c r="Q24" s="314"/>
      <c r="R24" s="315"/>
      <c r="S24" s="198"/>
      <c r="T24" s="202"/>
      <c r="U24" s="203"/>
      <c r="V24" s="207"/>
      <c r="W24" s="32"/>
      <c r="Z24" s="1">
        <v>35734</v>
      </c>
      <c r="AA24">
        <f>Z24/Z25</f>
        <v>0.30193748996611719</v>
      </c>
    </row>
    <row r="25" spans="1:27" s="6" customFormat="1" ht="48" customHeight="1">
      <c r="A25" s="33">
        <v>19</v>
      </c>
      <c r="B25" s="27" t="s">
        <v>43</v>
      </c>
      <c r="C25" s="40">
        <v>1</v>
      </c>
      <c r="D25" s="40"/>
      <c r="E25" s="40">
        <v>1</v>
      </c>
      <c r="F25" s="40">
        <v>19</v>
      </c>
      <c r="G25" s="27" t="s">
        <v>40</v>
      </c>
      <c r="H25" s="71">
        <v>2</v>
      </c>
      <c r="I25" s="71">
        <v>2</v>
      </c>
      <c r="J25" s="71"/>
      <c r="K25" s="71"/>
      <c r="L25" s="187"/>
      <c r="M25" s="313"/>
      <c r="N25" s="314"/>
      <c r="O25" s="314"/>
      <c r="P25" s="314"/>
      <c r="Q25" s="314"/>
      <c r="R25" s="315"/>
      <c r="S25" s="198"/>
      <c r="T25" s="202"/>
      <c r="U25" s="203"/>
      <c r="V25" s="207"/>
      <c r="W25" s="209">
        <f>V22+T22</f>
        <v>30146</v>
      </c>
      <c r="Z25" s="34">
        <v>118349</v>
      </c>
    </row>
    <row r="26" spans="1:27" s="6" customFormat="1" ht="42.75" customHeight="1">
      <c r="A26" s="33">
        <v>20</v>
      </c>
      <c r="B26" s="27" t="s">
        <v>45</v>
      </c>
      <c r="C26" s="40">
        <v>2</v>
      </c>
      <c r="D26" s="40">
        <v>1</v>
      </c>
      <c r="E26" s="40">
        <v>1</v>
      </c>
      <c r="F26" s="40">
        <v>20</v>
      </c>
      <c r="G26" s="27" t="s">
        <v>53</v>
      </c>
      <c r="H26" s="71">
        <v>20</v>
      </c>
      <c r="I26" s="71">
        <v>20</v>
      </c>
      <c r="J26" s="71"/>
      <c r="K26" s="71"/>
      <c r="L26" s="187"/>
      <c r="M26" s="313"/>
      <c r="N26" s="314"/>
      <c r="O26" s="314"/>
      <c r="P26" s="314"/>
      <c r="Q26" s="314"/>
      <c r="R26" s="315"/>
      <c r="S26" s="198"/>
      <c r="T26" s="202"/>
      <c r="U26" s="203"/>
      <c r="V26" s="207"/>
      <c r="W26" s="209"/>
      <c r="Z26" s="34"/>
    </row>
    <row r="27" spans="1:27" s="6" customFormat="1" ht="51.75" customHeight="1">
      <c r="A27" s="33">
        <v>21</v>
      </c>
      <c r="B27" s="27" t="s">
        <v>58</v>
      </c>
      <c r="C27" s="40">
        <v>1</v>
      </c>
      <c r="D27" s="40">
        <v>1</v>
      </c>
      <c r="E27" s="40"/>
      <c r="F27" s="40">
        <v>21</v>
      </c>
      <c r="G27" s="27" t="s">
        <v>54</v>
      </c>
      <c r="H27" s="71">
        <v>5</v>
      </c>
      <c r="I27" s="71">
        <v>5</v>
      </c>
      <c r="J27" s="71"/>
      <c r="K27" s="71"/>
      <c r="L27" s="153"/>
      <c r="M27" s="316"/>
      <c r="N27" s="317"/>
      <c r="O27" s="317"/>
      <c r="P27" s="317"/>
      <c r="Q27" s="317"/>
      <c r="R27" s="318"/>
      <c r="S27" s="199"/>
      <c r="T27" s="204"/>
      <c r="U27" s="205"/>
      <c r="V27" s="208"/>
      <c r="W27" s="209"/>
      <c r="Z27" s="34"/>
    </row>
    <row r="28" spans="1:27" ht="39.75" customHeight="1">
      <c r="A28" s="33">
        <v>22</v>
      </c>
      <c r="B28" s="27" t="s">
        <v>101</v>
      </c>
      <c r="C28" s="40">
        <v>1</v>
      </c>
      <c r="D28" s="40">
        <v>1</v>
      </c>
      <c r="E28" s="40"/>
      <c r="F28" s="40">
        <v>22</v>
      </c>
      <c r="G28" s="27" t="s">
        <v>55</v>
      </c>
      <c r="H28" s="71">
        <v>6</v>
      </c>
      <c r="I28" s="71">
        <v>6</v>
      </c>
      <c r="J28" s="71"/>
      <c r="K28" s="71"/>
      <c r="L28" s="168" t="s">
        <v>104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70"/>
      <c r="W28" s="32"/>
      <c r="Z28" s="1"/>
    </row>
    <row r="29" spans="1:27" ht="45" customHeight="1">
      <c r="A29" s="33">
        <v>23</v>
      </c>
      <c r="B29" s="27" t="s">
        <v>44</v>
      </c>
      <c r="C29" s="40">
        <v>2</v>
      </c>
      <c r="D29" s="40">
        <v>2</v>
      </c>
      <c r="E29" s="40"/>
      <c r="F29" s="40">
        <v>23</v>
      </c>
      <c r="G29" s="27" t="s">
        <v>73</v>
      </c>
      <c r="H29" s="71">
        <v>1</v>
      </c>
      <c r="I29" s="71">
        <v>1</v>
      </c>
      <c r="J29" s="71"/>
      <c r="K29" s="71"/>
      <c r="L29" s="40">
        <v>1</v>
      </c>
      <c r="M29" s="171" t="s">
        <v>120</v>
      </c>
      <c r="N29" s="172"/>
      <c r="O29" s="172"/>
      <c r="P29" s="172"/>
      <c r="Q29" s="172"/>
      <c r="R29" s="173"/>
      <c r="S29" s="49"/>
      <c r="T29" s="50"/>
      <c r="U29" s="51"/>
      <c r="V29" s="54"/>
      <c r="W29" s="178"/>
      <c r="Z29" s="1"/>
    </row>
    <row r="30" spans="1:27" ht="51.95" customHeight="1">
      <c r="A30" s="33">
        <v>24</v>
      </c>
      <c r="B30" s="27" t="s">
        <v>103</v>
      </c>
      <c r="C30" s="40">
        <v>1</v>
      </c>
      <c r="D30" s="40"/>
      <c r="E30" s="40">
        <v>1</v>
      </c>
      <c r="F30" s="40">
        <v>24</v>
      </c>
      <c r="G30" s="27" t="s">
        <v>97</v>
      </c>
      <c r="H30" s="71">
        <v>2</v>
      </c>
      <c r="I30" s="71"/>
      <c r="J30" s="71"/>
      <c r="K30" s="71"/>
      <c r="L30" s="152">
        <v>2</v>
      </c>
      <c r="M30" s="180" t="s">
        <v>119</v>
      </c>
      <c r="N30" s="181"/>
      <c r="O30" s="181"/>
      <c r="P30" s="181"/>
      <c r="Q30" s="181"/>
      <c r="R30" s="182"/>
      <c r="S30" s="160"/>
      <c r="T30" s="162"/>
      <c r="U30" s="163"/>
      <c r="V30" s="166"/>
      <c r="W30" s="179"/>
      <c r="Z30" s="1"/>
    </row>
    <row r="31" spans="1:27" ht="51.95" customHeight="1">
      <c r="A31" s="33">
        <v>25</v>
      </c>
      <c r="B31" s="27" t="s">
        <v>60</v>
      </c>
      <c r="C31" s="40">
        <v>3</v>
      </c>
      <c r="D31" s="40">
        <v>2</v>
      </c>
      <c r="E31" s="40">
        <v>1</v>
      </c>
      <c r="F31" s="40"/>
      <c r="G31" s="27"/>
      <c r="H31" s="27"/>
      <c r="I31" s="27"/>
      <c r="J31" s="27"/>
      <c r="K31" s="27"/>
      <c r="L31" s="153"/>
      <c r="M31" s="183"/>
      <c r="N31" s="184"/>
      <c r="O31" s="184"/>
      <c r="P31" s="184"/>
      <c r="Q31" s="184"/>
      <c r="R31" s="185"/>
      <c r="S31" s="161"/>
      <c r="T31" s="164"/>
      <c r="U31" s="165"/>
      <c r="V31" s="167"/>
      <c r="W31" s="179"/>
      <c r="Z31" s="1"/>
    </row>
    <row r="32" spans="1:27" ht="51.95" customHeight="1">
      <c r="A32" s="33">
        <v>26</v>
      </c>
      <c r="B32" s="27" t="s">
        <v>65</v>
      </c>
      <c r="C32" s="40">
        <v>3</v>
      </c>
      <c r="D32" s="40">
        <v>1</v>
      </c>
      <c r="E32" s="40">
        <v>2</v>
      </c>
      <c r="F32" s="40"/>
      <c r="G32" s="27"/>
      <c r="H32" s="27"/>
      <c r="I32" s="27"/>
      <c r="J32" s="27"/>
      <c r="K32" s="27"/>
      <c r="L32" s="186">
        <v>3</v>
      </c>
      <c r="M32" s="180" t="s">
        <v>128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33">
        <v>27</v>
      </c>
      <c r="B33" s="27" t="s">
        <v>62</v>
      </c>
      <c r="C33" s="40">
        <v>9</v>
      </c>
      <c r="D33" s="40">
        <v>6</v>
      </c>
      <c r="E33" s="40">
        <v>3</v>
      </c>
      <c r="F33" s="40"/>
      <c r="G33" s="27"/>
      <c r="H33" s="27"/>
      <c r="I33" s="27"/>
      <c r="J33" s="27"/>
      <c r="K33" s="27"/>
      <c r="L33" s="186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45" customHeight="1">
      <c r="A34" s="33">
        <v>28</v>
      </c>
      <c r="B34" s="27" t="s">
        <v>36</v>
      </c>
      <c r="C34" s="40">
        <v>1</v>
      </c>
      <c r="D34" s="40"/>
      <c r="E34" s="40">
        <v>1</v>
      </c>
      <c r="F34" s="40"/>
      <c r="G34" s="27"/>
      <c r="H34" s="27"/>
      <c r="I34" s="27"/>
      <c r="J34" s="27"/>
      <c r="K34" s="27"/>
      <c r="L34" s="152"/>
      <c r="M34" s="154"/>
      <c r="N34" s="155"/>
      <c r="O34" s="155"/>
      <c r="P34" s="155"/>
      <c r="Q34" s="155"/>
      <c r="R34" s="156"/>
      <c r="S34" s="160"/>
      <c r="T34" s="162"/>
      <c r="U34" s="163"/>
      <c r="V34" s="166"/>
      <c r="W34" s="16"/>
      <c r="Z34" s="1"/>
    </row>
    <row r="35" spans="1:27" ht="45" customHeight="1">
      <c r="A35" s="33">
        <v>29</v>
      </c>
      <c r="B35" s="27" t="s">
        <v>93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3"/>
      <c r="M35" s="157"/>
      <c r="N35" s="158"/>
      <c r="O35" s="158"/>
      <c r="P35" s="158"/>
      <c r="Q35" s="158"/>
      <c r="R35" s="159"/>
      <c r="S35" s="161"/>
      <c r="T35" s="164"/>
      <c r="U35" s="165"/>
      <c r="V35" s="167"/>
      <c r="W35" s="16"/>
      <c r="Z35" s="1"/>
    </row>
    <row r="36" spans="1:27" ht="45" customHeight="1">
      <c r="A36" s="33">
        <v>30</v>
      </c>
      <c r="B36" s="27" t="s">
        <v>46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27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  <c r="Z36" s="1"/>
    </row>
    <row r="37" spans="1:27" ht="45" customHeight="1">
      <c r="A37" s="33">
        <v>31</v>
      </c>
      <c r="B37" s="27" t="s">
        <v>95</v>
      </c>
      <c r="C37" s="40">
        <v>8</v>
      </c>
      <c r="D37" s="40"/>
      <c r="E37" s="40">
        <v>8</v>
      </c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45" customHeight="1">
      <c r="A38" s="33">
        <v>32</v>
      </c>
      <c r="B38" s="70" t="s">
        <v>118</v>
      </c>
      <c r="C38" s="64">
        <v>4</v>
      </c>
      <c r="D38" s="64">
        <v>4</v>
      </c>
      <c r="E38" s="64"/>
      <c r="F38" s="64"/>
      <c r="G38" s="70"/>
      <c r="H38" s="70"/>
      <c r="I38" s="70"/>
      <c r="J38" s="70"/>
      <c r="K38" s="7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93</v>
      </c>
      <c r="D39" s="61">
        <f>SUM(D7:D38)</f>
        <v>53</v>
      </c>
      <c r="E39" s="61">
        <f>SUM(E7:E38)</f>
        <v>39</v>
      </c>
      <c r="F39" s="151" t="s">
        <v>9</v>
      </c>
      <c r="G39" s="151"/>
      <c r="H39" s="75">
        <f>SUM(H7:H37)</f>
        <v>73</v>
      </c>
      <c r="I39" s="60">
        <f>SUM(I7:I37)</f>
        <v>60</v>
      </c>
      <c r="J39" s="75">
        <f>SUM(J7:J37)</f>
        <v>9</v>
      </c>
      <c r="K39" s="75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05" customHeight="1">
      <c r="A42" s="13">
        <v>1</v>
      </c>
      <c r="B42" s="74" t="s">
        <v>135</v>
      </c>
      <c r="C42" s="134"/>
      <c r="D42" s="135"/>
      <c r="E42" s="109">
        <v>96</v>
      </c>
      <c r="F42" s="111"/>
      <c r="G42" s="110"/>
      <c r="H42" s="134"/>
      <c r="I42" s="136"/>
      <c r="J42" s="135"/>
      <c r="K42" s="134">
        <v>95.5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25">
        <f>K42+H42</f>
        <v>95.5</v>
      </c>
      <c r="Y42" s="8"/>
    </row>
    <row r="43" spans="1:27" ht="110.25" customHeight="1">
      <c r="A43" s="13">
        <v>2</v>
      </c>
      <c r="B43" s="74" t="s">
        <v>136</v>
      </c>
      <c r="C43" s="117"/>
      <c r="D43" s="118"/>
      <c r="E43" s="109">
        <v>2527</v>
      </c>
      <c r="F43" s="111"/>
      <c r="G43" s="110"/>
      <c r="H43" s="134"/>
      <c r="I43" s="136"/>
      <c r="J43" s="135"/>
      <c r="K43" s="134">
        <v>671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22">
        <f t="shared" ref="W43:W50" si="2">K43+H43</f>
        <v>671</v>
      </c>
      <c r="X43" s="2"/>
      <c r="Y43" s="7"/>
      <c r="Z43" s="7"/>
      <c r="AA43" s="9"/>
    </row>
    <row r="44" spans="1:27" ht="90.75" customHeight="1">
      <c r="A44" s="13">
        <v>3</v>
      </c>
      <c r="B44" s="74" t="s">
        <v>80</v>
      </c>
      <c r="C44" s="122"/>
      <c r="D44" s="123"/>
      <c r="E44" s="109">
        <v>118000</v>
      </c>
      <c r="F44" s="111"/>
      <c r="G44" s="110"/>
      <c r="H44" s="109"/>
      <c r="I44" s="111"/>
      <c r="J44" s="110"/>
      <c r="K44" s="109">
        <v>111986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22">
        <f>K44+H44</f>
        <v>111986</v>
      </c>
      <c r="X44" s="2"/>
      <c r="Y44" s="7"/>
      <c r="Z44" s="7"/>
      <c r="AA44" s="9"/>
    </row>
    <row r="45" spans="1:27" ht="45.75" customHeight="1">
      <c r="A45" s="13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/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2.25" customHeight="1">
      <c r="A46" s="13">
        <v>5</v>
      </c>
      <c r="B46" s="74" t="s">
        <v>114</v>
      </c>
      <c r="C46" s="122"/>
      <c r="D46" s="123"/>
      <c r="E46" s="109">
        <v>1162</v>
      </c>
      <c r="F46" s="111"/>
      <c r="G46" s="110"/>
      <c r="H46" s="109"/>
      <c r="I46" s="111"/>
      <c r="J46" s="110"/>
      <c r="K46" s="109">
        <v>1162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1162</v>
      </c>
      <c r="X46" s="2"/>
      <c r="Y46" s="7"/>
      <c r="Z46" s="7"/>
      <c r="AA46" s="9"/>
    </row>
    <row r="47" spans="1:27" ht="72.75" customHeight="1">
      <c r="A47" s="13">
        <v>6</v>
      </c>
      <c r="B47" s="74" t="s">
        <v>115</v>
      </c>
      <c r="C47" s="122"/>
      <c r="D47" s="123"/>
      <c r="E47" s="109">
        <v>6608</v>
      </c>
      <c r="F47" s="111"/>
      <c r="G47" s="110"/>
      <c r="H47" s="109"/>
      <c r="I47" s="111"/>
      <c r="J47" s="110"/>
      <c r="K47" s="109">
        <v>6608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6608</v>
      </c>
      <c r="X47" s="2"/>
      <c r="Y47" s="7"/>
      <c r="Z47" s="7"/>
      <c r="AA47" s="9"/>
    </row>
    <row r="48" spans="1:27" ht="49.5" customHeight="1">
      <c r="A48" s="13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/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57" customHeight="1">
      <c r="A49" s="13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/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57" customHeight="1">
      <c r="A50" s="13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/>
      <c r="I50" s="111"/>
      <c r="J50" s="110"/>
      <c r="K50" s="109">
        <v>200</v>
      </c>
      <c r="L50" s="111"/>
      <c r="M50" s="111"/>
      <c r="N50" s="110"/>
      <c r="O50" s="112"/>
      <c r="P50" s="112"/>
      <c r="Q50" s="112"/>
      <c r="R50" s="112"/>
      <c r="S50" s="112"/>
      <c r="T50" s="112"/>
      <c r="U50" s="112"/>
      <c r="V50" s="113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42.7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4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5" t="s">
        <v>67</v>
      </c>
      <c r="P54" s="105"/>
      <c r="Q54" s="105"/>
      <c r="R54" s="105"/>
      <c r="S54" s="105"/>
      <c r="T54" s="105"/>
      <c r="U54" s="105"/>
      <c r="V54" s="106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5"/>
      <c r="P55" s="105"/>
      <c r="Q55" s="105"/>
      <c r="R55" s="105"/>
      <c r="S55" s="105"/>
      <c r="T55" s="105"/>
      <c r="U55" s="105"/>
      <c r="V55" s="106"/>
    </row>
    <row r="56" spans="1:27" ht="12.7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/>
      <c r="P56" s="105"/>
      <c r="Q56" s="105"/>
      <c r="R56" s="105"/>
      <c r="S56" s="105"/>
      <c r="T56" s="105"/>
      <c r="U56" s="105"/>
      <c r="V56" s="106"/>
    </row>
    <row r="57" spans="1:27" ht="12.7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7"/>
      <c r="P58" s="107"/>
      <c r="Q58" s="107"/>
      <c r="R58" s="107"/>
      <c r="S58" s="107"/>
      <c r="T58" s="107"/>
      <c r="U58" s="107"/>
      <c r="V58" s="108"/>
    </row>
    <row r="61" spans="1:27">
      <c r="S61" s="28"/>
      <c r="T61" s="28"/>
      <c r="U61" s="28"/>
    </row>
    <row r="62" spans="1:27">
      <c r="G62" s="12" t="s">
        <v>58</v>
      </c>
      <c r="H62" s="24">
        <v>1</v>
      </c>
      <c r="I62" s="24"/>
      <c r="J62" s="24">
        <v>1</v>
      </c>
      <c r="S62" s="28"/>
      <c r="T62" s="28">
        <v>17</v>
      </c>
      <c r="U62" s="29"/>
    </row>
    <row r="63" spans="1:27">
      <c r="G63" s="12" t="s">
        <v>103</v>
      </c>
      <c r="H63" s="24">
        <v>1</v>
      </c>
      <c r="I63" s="24">
        <v>1</v>
      </c>
      <c r="J63" s="24"/>
      <c r="S63" s="28"/>
      <c r="T63" s="28">
        <v>17</v>
      </c>
      <c r="U63" s="30"/>
    </row>
    <row r="64" spans="1:27">
      <c r="G64" s="12" t="s">
        <v>44</v>
      </c>
      <c r="H64" s="24">
        <v>2</v>
      </c>
      <c r="I64" s="24">
        <v>2</v>
      </c>
      <c r="J64" s="24"/>
      <c r="S64" s="28"/>
      <c r="T64" s="28">
        <v>17</v>
      </c>
      <c r="U64" s="28"/>
    </row>
    <row r="65" spans="1:31">
      <c r="G65" s="12" t="s">
        <v>8</v>
      </c>
      <c r="H65" s="24">
        <v>8</v>
      </c>
      <c r="I65" s="24">
        <v>8</v>
      </c>
      <c r="J65" s="24"/>
      <c r="T65" s="3">
        <v>17</v>
      </c>
    </row>
    <row r="66" spans="1:31">
      <c r="G66" s="12" t="s">
        <v>101</v>
      </c>
      <c r="H66" s="24">
        <v>1</v>
      </c>
      <c r="I66" s="24">
        <v>1</v>
      </c>
      <c r="J66" s="24"/>
      <c r="T66" s="3">
        <v>19</v>
      </c>
    </row>
    <row r="67" spans="1:31">
      <c r="G67" s="12" t="s">
        <v>63</v>
      </c>
      <c r="H67" s="24">
        <v>8</v>
      </c>
      <c r="I67" s="24">
        <v>7</v>
      </c>
      <c r="J67" s="24">
        <v>1</v>
      </c>
      <c r="T67" s="3">
        <v>20</v>
      </c>
    </row>
    <row r="68" spans="1:31">
      <c r="G68" s="12" t="s">
        <v>17</v>
      </c>
      <c r="H68" s="24">
        <v>7</v>
      </c>
      <c r="I68" s="24">
        <v>6</v>
      </c>
      <c r="J68" s="24">
        <v>1</v>
      </c>
      <c r="T68" s="3">
        <v>21</v>
      </c>
    </row>
    <row r="69" spans="1:31">
      <c r="G69" s="12" t="s">
        <v>65</v>
      </c>
      <c r="H69" s="24">
        <v>2</v>
      </c>
      <c r="I69" s="24">
        <v>2</v>
      </c>
      <c r="J69" s="24"/>
      <c r="T69" s="3">
        <v>18</v>
      </c>
    </row>
    <row r="70" spans="1:31">
      <c r="G70" s="12" t="s">
        <v>62</v>
      </c>
      <c r="H70" s="24">
        <v>7</v>
      </c>
      <c r="I70" s="24">
        <v>6</v>
      </c>
      <c r="J70" s="24">
        <v>1</v>
      </c>
      <c r="T70" s="3">
        <v>18.600000000000001</v>
      </c>
    </row>
    <row r="71" spans="1:31" s="3" customFormat="1">
      <c r="A71"/>
      <c r="B71" s="15"/>
      <c r="G71" s="12" t="s">
        <v>36</v>
      </c>
      <c r="H71" s="24">
        <f>J72+I71</f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43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45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93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46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60</v>
      </c>
      <c r="H76" s="24">
        <v>4</v>
      </c>
      <c r="I76" s="24">
        <v>4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48</v>
      </c>
      <c r="H77" s="24">
        <v>1</v>
      </c>
      <c r="I77" s="24"/>
      <c r="J77" s="24">
        <v>1</v>
      </c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95</v>
      </c>
      <c r="H78" s="24">
        <v>6</v>
      </c>
      <c r="I78" s="24">
        <v>6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47"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V17:V18"/>
    <mergeCell ref="L19:L21"/>
    <mergeCell ref="M19:R21"/>
    <mergeCell ref="S19:S21"/>
    <mergeCell ref="T19:U21"/>
    <mergeCell ref="V19:V21"/>
    <mergeCell ref="M16:R16"/>
    <mergeCell ref="T16:U16"/>
    <mergeCell ref="L17:L18"/>
    <mergeCell ref="M17:R18"/>
    <mergeCell ref="S17:S18"/>
    <mergeCell ref="T17:U18"/>
    <mergeCell ref="W29:W33"/>
    <mergeCell ref="L30:L31"/>
    <mergeCell ref="M30:R31"/>
    <mergeCell ref="S30:S31"/>
    <mergeCell ref="T30:U31"/>
    <mergeCell ref="V30:V31"/>
    <mergeCell ref="L32:L33"/>
    <mergeCell ref="M32:R33"/>
    <mergeCell ref="L22:L27"/>
    <mergeCell ref="M22:R27"/>
    <mergeCell ref="S22:S27"/>
    <mergeCell ref="T22:U27"/>
    <mergeCell ref="V22:V27"/>
    <mergeCell ref="W25:W27"/>
    <mergeCell ref="S32:S33"/>
    <mergeCell ref="T32:U33"/>
    <mergeCell ref="V32:V33"/>
    <mergeCell ref="L34:L35"/>
    <mergeCell ref="M34:R35"/>
    <mergeCell ref="S34:S35"/>
    <mergeCell ref="T34:U35"/>
    <mergeCell ref="V34:V35"/>
    <mergeCell ref="L28:V28"/>
    <mergeCell ref="M29:R29"/>
    <mergeCell ref="A40:N40"/>
    <mergeCell ref="O40:V40"/>
    <mergeCell ref="C41:D41"/>
    <mergeCell ref="E41:G41"/>
    <mergeCell ref="H41:J41"/>
    <mergeCell ref="K41:N41"/>
    <mergeCell ref="O41:R41"/>
    <mergeCell ref="M36:R36"/>
    <mergeCell ref="M37:R37"/>
    <mergeCell ref="M38:R38"/>
    <mergeCell ref="A39:B39"/>
    <mergeCell ref="F39:G39"/>
    <mergeCell ref="M39:R39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A52:V52"/>
    <mergeCell ref="A53:N53"/>
    <mergeCell ref="O53:V53"/>
    <mergeCell ref="A54:N58"/>
    <mergeCell ref="O54:V58"/>
    <mergeCell ref="C50:D50"/>
    <mergeCell ref="E50:G50"/>
    <mergeCell ref="H50:J50"/>
    <mergeCell ref="K50:N50"/>
    <mergeCell ref="O50:V50"/>
    <mergeCell ref="A51:V51"/>
  </mergeCells>
  <printOptions horizontalCentered="1" verticalCentered="1"/>
  <pageMargins left="0.25" right="0.25" top="0.25" bottom="0.8" header="0" footer="0"/>
  <pageSetup paperSize="9" scale="2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91D1-40D2-4AD6-84BF-E5426061DE7A}">
  <sheetPr>
    <pageSetUpPr fitToPage="1"/>
  </sheetPr>
  <dimension ref="A1:AH111"/>
  <sheetViews>
    <sheetView rightToLeft="1" view="pageBreakPreview" topLeftCell="A7" zoomScale="40" zoomScaleNormal="110" zoomScaleSheetLayoutView="40" workbookViewId="0">
      <selection activeCell="M11" sqref="M11:R14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9.140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16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26" width="12.7109375" bestFit="1" customWidth="1"/>
    <col min="27" max="27" width="12.42578125" customWidth="1"/>
    <col min="28" max="28" width="17.5703125" customWidth="1"/>
    <col min="29" max="33" width="13.57031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145</v>
      </c>
      <c r="S1" s="297"/>
      <c r="T1" s="300" t="s">
        <v>146</v>
      </c>
      <c r="U1" s="300"/>
      <c r="V1" s="302" t="s">
        <v>147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303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303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148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273" t="s">
        <v>2</v>
      </c>
      <c r="M7" s="274" t="s">
        <v>28</v>
      </c>
      <c r="N7" s="275"/>
      <c r="O7" s="275"/>
      <c r="P7" s="275"/>
      <c r="Q7" s="275"/>
      <c r="R7" s="275"/>
      <c r="S7" s="278" t="s">
        <v>26</v>
      </c>
      <c r="T7" s="280" t="s">
        <v>27</v>
      </c>
      <c r="U7" s="280"/>
      <c r="V7" s="278" t="s">
        <v>82</v>
      </c>
      <c r="W7" s="19"/>
    </row>
    <row r="8" spans="1:34" ht="51.9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273"/>
      <c r="M8" s="276"/>
      <c r="N8" s="277"/>
      <c r="O8" s="277"/>
      <c r="P8" s="277"/>
      <c r="Q8" s="277"/>
      <c r="R8" s="277"/>
      <c r="S8" s="279"/>
      <c r="T8" s="281"/>
      <c r="U8" s="281"/>
      <c r="V8" s="279"/>
      <c r="W8" s="19"/>
      <c r="AA8" s="6"/>
      <c r="AB8" s="6"/>
      <c r="AC8" s="6"/>
      <c r="AD8" s="6"/>
      <c r="AE8" s="6"/>
    </row>
    <row r="9" spans="1:34" ht="51.9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/>
      <c r="J9" s="71">
        <v>1</v>
      </c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251" t="s">
        <v>57</v>
      </c>
      <c r="T9" s="348">
        <v>0</v>
      </c>
      <c r="U9" s="348"/>
      <c r="V9" s="349">
        <v>492480</v>
      </c>
      <c r="X9" s="5"/>
      <c r="Y9" s="5">
        <v>3000</v>
      </c>
      <c r="Z9" s="5"/>
    </row>
    <row r="10" spans="1:34" ht="51.9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/>
      <c r="J10" s="71">
        <v>1</v>
      </c>
      <c r="K10" s="71"/>
      <c r="L10" s="186"/>
      <c r="M10" s="250"/>
      <c r="N10" s="250"/>
      <c r="O10" s="250"/>
      <c r="P10" s="250"/>
      <c r="Q10" s="250"/>
      <c r="R10" s="250"/>
      <c r="S10" s="251"/>
      <c r="T10" s="348"/>
      <c r="U10" s="348"/>
      <c r="V10" s="350"/>
      <c r="W10" s="19"/>
      <c r="AA10" s="6"/>
      <c r="AB10" s="6"/>
      <c r="AC10" s="6"/>
      <c r="AD10" s="6"/>
      <c r="AE10" s="6"/>
    </row>
    <row r="11" spans="1:34" ht="60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2</v>
      </c>
      <c r="J11" s="71">
        <v>4</v>
      </c>
      <c r="K11" s="71"/>
      <c r="L11" s="186">
        <v>2</v>
      </c>
      <c r="M11" s="351" t="s">
        <v>149</v>
      </c>
      <c r="N11" s="352"/>
      <c r="O11" s="352"/>
      <c r="P11" s="352"/>
      <c r="Q11" s="352"/>
      <c r="R11" s="353"/>
      <c r="S11" s="243" t="s">
        <v>57</v>
      </c>
      <c r="T11" s="360">
        <v>15870</v>
      </c>
      <c r="U11" s="361"/>
      <c r="V11" s="349">
        <v>186495</v>
      </c>
      <c r="W11" s="236">
        <f>V11+T11</f>
        <v>202365</v>
      </c>
      <c r="AA11" s="6"/>
      <c r="AB11" s="6"/>
      <c r="AC11" s="6"/>
      <c r="AD11" s="6"/>
      <c r="AE11" s="6"/>
    </row>
    <row r="12" spans="1:34" ht="60" customHeight="1">
      <c r="A12" s="33">
        <v>6</v>
      </c>
      <c r="B12" s="69" t="s">
        <v>39</v>
      </c>
      <c r="C12" s="40">
        <v>1</v>
      </c>
      <c r="D12" s="40"/>
      <c r="E12" s="40">
        <v>1</v>
      </c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354"/>
      <c r="N12" s="355"/>
      <c r="O12" s="355"/>
      <c r="P12" s="355"/>
      <c r="Q12" s="355"/>
      <c r="R12" s="356"/>
      <c r="S12" s="262"/>
      <c r="T12" s="362"/>
      <c r="U12" s="363"/>
      <c r="V12" s="36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33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72">
        <v>1</v>
      </c>
      <c r="I13" s="72">
        <v>1</v>
      </c>
      <c r="J13" s="72"/>
      <c r="K13" s="71"/>
      <c r="L13" s="186"/>
      <c r="M13" s="354"/>
      <c r="N13" s="355"/>
      <c r="O13" s="355"/>
      <c r="P13" s="355"/>
      <c r="Q13" s="355"/>
      <c r="R13" s="356"/>
      <c r="S13" s="262"/>
      <c r="T13" s="362"/>
      <c r="U13" s="363"/>
      <c r="V13" s="36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60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1</v>
      </c>
      <c r="J14" s="71"/>
      <c r="K14" s="71">
        <v>1</v>
      </c>
      <c r="L14" s="186"/>
      <c r="M14" s="357"/>
      <c r="N14" s="358"/>
      <c r="O14" s="358"/>
      <c r="P14" s="358"/>
      <c r="Q14" s="358"/>
      <c r="R14" s="359"/>
      <c r="S14" s="244"/>
      <c r="T14" s="364"/>
      <c r="U14" s="365"/>
      <c r="V14" s="350"/>
      <c r="W14" s="236"/>
    </row>
    <row r="15" spans="1:34" ht="51.95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79">
        <v>51330</v>
      </c>
      <c r="W15" s="39">
        <f>V15+T15</f>
        <v>51330</v>
      </c>
    </row>
    <row r="16" spans="1:34" ht="51.95" customHeight="1">
      <c r="A16" s="33">
        <v>10</v>
      </c>
      <c r="B16" s="67" t="s">
        <v>113</v>
      </c>
      <c r="C16" s="40">
        <v>1</v>
      </c>
      <c r="D16" s="40">
        <v>1</v>
      </c>
      <c r="E16" s="40"/>
      <c r="F16" s="40">
        <v>10</v>
      </c>
      <c r="G16" s="24" t="s">
        <v>70</v>
      </c>
      <c r="H16" s="71">
        <v>3</v>
      </c>
      <c r="I16" s="71">
        <v>2</v>
      </c>
      <c r="J16" s="71">
        <v>1</v>
      </c>
      <c r="K16" s="71"/>
      <c r="L16" s="40">
        <v>4</v>
      </c>
      <c r="M16" s="140" t="s">
        <v>116</v>
      </c>
      <c r="N16" s="141"/>
      <c r="O16" s="141"/>
      <c r="P16" s="141"/>
      <c r="Q16" s="141"/>
      <c r="R16" s="142"/>
      <c r="S16" s="35" t="s">
        <v>85</v>
      </c>
      <c r="T16" s="373">
        <v>0</v>
      </c>
      <c r="U16" s="374"/>
      <c r="V16" s="79">
        <v>43476</v>
      </c>
      <c r="W16" s="47">
        <f>V16+T16</f>
        <v>43476</v>
      </c>
    </row>
    <row r="17" spans="1:27" ht="51.95" customHeight="1">
      <c r="A17" s="33">
        <v>11</v>
      </c>
      <c r="B17" s="27" t="s">
        <v>21</v>
      </c>
      <c r="C17" s="40">
        <v>2</v>
      </c>
      <c r="D17" s="40">
        <v>2</v>
      </c>
      <c r="E17" s="40"/>
      <c r="F17" s="40">
        <v>11</v>
      </c>
      <c r="G17" s="27" t="s">
        <v>102</v>
      </c>
      <c r="H17" s="71">
        <v>2</v>
      </c>
      <c r="I17" s="71">
        <v>2</v>
      </c>
      <c r="J17" s="71"/>
      <c r="K17" s="71"/>
      <c r="L17" s="186">
        <v>5</v>
      </c>
      <c r="M17" s="230" t="s">
        <v>127</v>
      </c>
      <c r="N17" s="231"/>
      <c r="O17" s="231"/>
      <c r="P17" s="231"/>
      <c r="Q17" s="231"/>
      <c r="R17" s="232"/>
      <c r="S17" s="160" t="s">
        <v>85</v>
      </c>
      <c r="T17" s="367">
        <v>0</v>
      </c>
      <c r="U17" s="368"/>
      <c r="V17" s="349">
        <v>91806</v>
      </c>
      <c r="W17" s="47">
        <f>V17+T17</f>
        <v>91806</v>
      </c>
      <c r="X17">
        <v>1</v>
      </c>
      <c r="Z17" s="1"/>
    </row>
    <row r="18" spans="1:27" ht="51.95" customHeight="1">
      <c r="A18" s="33">
        <v>12</v>
      </c>
      <c r="B18" s="27" t="s">
        <v>105</v>
      </c>
      <c r="C18" s="40">
        <v>1</v>
      </c>
      <c r="D18" s="40"/>
      <c r="E18" s="40">
        <v>1</v>
      </c>
      <c r="F18" s="40">
        <v>12</v>
      </c>
      <c r="G18" s="27" t="s">
        <v>78</v>
      </c>
      <c r="H18" s="71">
        <v>5</v>
      </c>
      <c r="I18" s="71">
        <v>4</v>
      </c>
      <c r="J18" s="71">
        <v>1</v>
      </c>
      <c r="K18" s="71"/>
      <c r="L18" s="186"/>
      <c r="M18" s="233"/>
      <c r="N18" s="234"/>
      <c r="O18" s="234"/>
      <c r="P18" s="234"/>
      <c r="Q18" s="234"/>
      <c r="R18" s="235"/>
      <c r="S18" s="161"/>
      <c r="T18" s="371"/>
      <c r="U18" s="372"/>
      <c r="V18" s="350"/>
      <c r="W18" s="32"/>
      <c r="Z18" s="1"/>
    </row>
    <row r="19" spans="1:27" ht="51.95" customHeight="1">
      <c r="A19" s="33">
        <v>13</v>
      </c>
      <c r="B19" s="27" t="s">
        <v>117</v>
      </c>
      <c r="C19" s="40">
        <v>1</v>
      </c>
      <c r="D19" s="40"/>
      <c r="E19" s="40">
        <v>1</v>
      </c>
      <c r="F19" s="40">
        <v>13</v>
      </c>
      <c r="G19" s="27" t="s">
        <v>19</v>
      </c>
      <c r="H19" s="71">
        <v>2</v>
      </c>
      <c r="I19" s="71">
        <v>2</v>
      </c>
      <c r="J19" s="71"/>
      <c r="K19" s="71"/>
      <c r="L19" s="152">
        <v>6</v>
      </c>
      <c r="M19" s="212" t="s">
        <v>121</v>
      </c>
      <c r="N19" s="213"/>
      <c r="O19" s="213"/>
      <c r="P19" s="213"/>
      <c r="Q19" s="213"/>
      <c r="R19" s="214"/>
      <c r="S19" s="160" t="s">
        <v>85</v>
      </c>
      <c r="T19" s="367">
        <v>0</v>
      </c>
      <c r="U19" s="368"/>
      <c r="V19" s="349">
        <v>40481</v>
      </c>
      <c r="W19" s="32"/>
      <c r="Z19" s="1"/>
    </row>
    <row r="20" spans="1:27" ht="51.95" customHeight="1">
      <c r="A20" s="33">
        <v>14</v>
      </c>
      <c r="B20" s="31" t="s">
        <v>37</v>
      </c>
      <c r="C20" s="40">
        <v>1</v>
      </c>
      <c r="D20" s="40"/>
      <c r="E20" s="40">
        <v>1</v>
      </c>
      <c r="F20" s="40">
        <v>14</v>
      </c>
      <c r="G20" s="27" t="s">
        <v>59</v>
      </c>
      <c r="H20" s="71">
        <v>1</v>
      </c>
      <c r="I20" s="71"/>
      <c r="J20" s="71">
        <v>1</v>
      </c>
      <c r="K20" s="71"/>
      <c r="L20" s="187"/>
      <c r="M20" s="215"/>
      <c r="N20" s="216"/>
      <c r="O20" s="216"/>
      <c r="P20" s="216"/>
      <c r="Q20" s="216"/>
      <c r="R20" s="217"/>
      <c r="S20" s="221"/>
      <c r="T20" s="369"/>
      <c r="U20" s="370"/>
      <c r="V20" s="366"/>
      <c r="W20" s="47">
        <f>V19+T19</f>
        <v>40481</v>
      </c>
      <c r="Z20" s="1"/>
    </row>
    <row r="21" spans="1:27" ht="51.95" customHeight="1">
      <c r="A21" s="33">
        <v>15</v>
      </c>
      <c r="B21" s="14" t="s">
        <v>94</v>
      </c>
      <c r="C21" s="40">
        <v>1</v>
      </c>
      <c r="D21" s="40">
        <v>1</v>
      </c>
      <c r="E21" s="40"/>
      <c r="F21" s="40">
        <v>15</v>
      </c>
      <c r="G21" s="27" t="s">
        <v>92</v>
      </c>
      <c r="H21" s="71">
        <v>1</v>
      </c>
      <c r="I21" s="71">
        <v>1</v>
      </c>
      <c r="J21" s="73"/>
      <c r="K21" s="71"/>
      <c r="L21" s="187"/>
      <c r="M21" s="218"/>
      <c r="N21" s="219"/>
      <c r="O21" s="219"/>
      <c r="P21" s="219"/>
      <c r="Q21" s="219"/>
      <c r="R21" s="220"/>
      <c r="S21" s="161"/>
      <c r="T21" s="371"/>
      <c r="U21" s="372"/>
      <c r="V21" s="350"/>
      <c r="W21" s="32"/>
      <c r="Z21" s="1"/>
    </row>
    <row r="22" spans="1:27" ht="51.95" customHeight="1">
      <c r="A22" s="33">
        <v>16</v>
      </c>
      <c r="B22" s="27" t="s">
        <v>8</v>
      </c>
      <c r="C22" s="59">
        <v>12</v>
      </c>
      <c r="D22" s="40">
        <v>4</v>
      </c>
      <c r="E22" s="40">
        <v>8</v>
      </c>
      <c r="F22" s="40">
        <v>16</v>
      </c>
      <c r="G22" s="27" t="s">
        <v>7</v>
      </c>
      <c r="H22" s="71">
        <v>3</v>
      </c>
      <c r="I22" s="71">
        <v>3</v>
      </c>
      <c r="J22" s="71"/>
      <c r="K22" s="71"/>
      <c r="L22" s="152">
        <v>7</v>
      </c>
      <c r="M22" s="375" t="s">
        <v>150</v>
      </c>
      <c r="N22" s="376"/>
      <c r="O22" s="376"/>
      <c r="P22" s="376"/>
      <c r="Q22" s="376"/>
      <c r="R22" s="377"/>
      <c r="S22" s="197" t="s">
        <v>85</v>
      </c>
      <c r="T22" s="360">
        <v>378</v>
      </c>
      <c r="U22" s="361"/>
      <c r="V22" s="349">
        <v>30524</v>
      </c>
      <c r="Z22" s="1"/>
    </row>
    <row r="23" spans="1:27" ht="51.95" customHeight="1">
      <c r="A23" s="33">
        <v>17</v>
      </c>
      <c r="B23" s="27" t="s">
        <v>63</v>
      </c>
      <c r="C23" s="59">
        <v>14</v>
      </c>
      <c r="D23" s="40">
        <v>7</v>
      </c>
      <c r="E23" s="40">
        <v>7</v>
      </c>
      <c r="F23" s="40">
        <v>17</v>
      </c>
      <c r="G23" s="27" t="s">
        <v>14</v>
      </c>
      <c r="H23" s="71">
        <v>4</v>
      </c>
      <c r="I23" s="71">
        <v>3</v>
      </c>
      <c r="J23" s="71"/>
      <c r="K23" s="71">
        <v>1</v>
      </c>
      <c r="L23" s="187"/>
      <c r="M23" s="378"/>
      <c r="N23" s="379"/>
      <c r="O23" s="379"/>
      <c r="P23" s="379"/>
      <c r="Q23" s="379"/>
      <c r="R23" s="380"/>
      <c r="S23" s="198"/>
      <c r="T23" s="362"/>
      <c r="U23" s="363"/>
      <c r="V23" s="366"/>
      <c r="W23" s="32"/>
      <c r="Z23" s="1"/>
    </row>
    <row r="24" spans="1:27" ht="51.95" customHeight="1">
      <c r="A24" s="33">
        <v>18</v>
      </c>
      <c r="B24" s="27" t="s">
        <v>17</v>
      </c>
      <c r="C24" s="40">
        <v>7</v>
      </c>
      <c r="D24" s="40">
        <v>5</v>
      </c>
      <c r="E24" s="40">
        <v>2</v>
      </c>
      <c r="F24" s="40">
        <v>18</v>
      </c>
      <c r="G24" s="27" t="s">
        <v>15</v>
      </c>
      <c r="H24" s="71">
        <v>1</v>
      </c>
      <c r="I24" s="71">
        <v>1</v>
      </c>
      <c r="J24" s="71"/>
      <c r="K24" s="71"/>
      <c r="L24" s="187"/>
      <c r="M24" s="378"/>
      <c r="N24" s="379"/>
      <c r="O24" s="379"/>
      <c r="P24" s="379"/>
      <c r="Q24" s="379"/>
      <c r="R24" s="380"/>
      <c r="S24" s="198"/>
      <c r="T24" s="362"/>
      <c r="U24" s="363"/>
      <c r="V24" s="366"/>
      <c r="W24" s="32"/>
      <c r="Z24" s="1">
        <v>35734</v>
      </c>
      <c r="AA24">
        <f>Z24/Z25</f>
        <v>0.30193748996611719</v>
      </c>
    </row>
    <row r="25" spans="1:27" s="6" customFormat="1" ht="51.95" customHeight="1">
      <c r="A25" s="33">
        <v>19</v>
      </c>
      <c r="B25" s="27" t="s">
        <v>43</v>
      </c>
      <c r="C25" s="40">
        <v>1</v>
      </c>
      <c r="D25" s="40"/>
      <c r="E25" s="40">
        <v>1</v>
      </c>
      <c r="F25" s="40">
        <v>19</v>
      </c>
      <c r="G25" s="27" t="s">
        <v>40</v>
      </c>
      <c r="H25" s="71">
        <v>2</v>
      </c>
      <c r="I25" s="71">
        <v>2</v>
      </c>
      <c r="J25" s="71"/>
      <c r="K25" s="71"/>
      <c r="L25" s="187"/>
      <c r="M25" s="378"/>
      <c r="N25" s="379"/>
      <c r="O25" s="379"/>
      <c r="P25" s="379"/>
      <c r="Q25" s="379"/>
      <c r="R25" s="380"/>
      <c r="S25" s="198"/>
      <c r="T25" s="362"/>
      <c r="U25" s="363"/>
      <c r="V25" s="366"/>
      <c r="W25" s="209">
        <f>V22+T22</f>
        <v>30902</v>
      </c>
      <c r="Z25" s="34">
        <v>118349</v>
      </c>
    </row>
    <row r="26" spans="1:27" s="6" customFormat="1" ht="51.95" customHeight="1">
      <c r="A26" s="33">
        <v>20</v>
      </c>
      <c r="B26" s="27" t="s">
        <v>45</v>
      </c>
      <c r="C26" s="40">
        <v>2</v>
      </c>
      <c r="D26" s="40">
        <v>1</v>
      </c>
      <c r="E26" s="40">
        <v>1</v>
      </c>
      <c r="F26" s="40">
        <v>20</v>
      </c>
      <c r="G26" s="27" t="s">
        <v>53</v>
      </c>
      <c r="H26" s="71">
        <v>20</v>
      </c>
      <c r="I26" s="71">
        <v>20</v>
      </c>
      <c r="J26" s="71"/>
      <c r="K26" s="71"/>
      <c r="L26" s="187"/>
      <c r="M26" s="378"/>
      <c r="N26" s="379"/>
      <c r="O26" s="379"/>
      <c r="P26" s="379"/>
      <c r="Q26" s="379"/>
      <c r="R26" s="380"/>
      <c r="S26" s="198"/>
      <c r="T26" s="362"/>
      <c r="U26" s="363"/>
      <c r="V26" s="366"/>
      <c r="W26" s="209"/>
      <c r="Z26" s="34"/>
    </row>
    <row r="27" spans="1:27" s="6" customFormat="1" ht="51.95" customHeight="1">
      <c r="A27" s="33">
        <v>21</v>
      </c>
      <c r="B27" s="27" t="s">
        <v>58</v>
      </c>
      <c r="C27" s="40">
        <v>1</v>
      </c>
      <c r="D27" s="40">
        <v>1</v>
      </c>
      <c r="E27" s="40"/>
      <c r="F27" s="40">
        <v>21</v>
      </c>
      <c r="G27" s="27" t="s">
        <v>54</v>
      </c>
      <c r="H27" s="71">
        <v>5</v>
      </c>
      <c r="I27" s="71">
        <v>5</v>
      </c>
      <c r="J27" s="71"/>
      <c r="K27" s="71"/>
      <c r="L27" s="153"/>
      <c r="M27" s="381"/>
      <c r="N27" s="382"/>
      <c r="O27" s="382"/>
      <c r="P27" s="382"/>
      <c r="Q27" s="382"/>
      <c r="R27" s="383"/>
      <c r="S27" s="199"/>
      <c r="T27" s="364"/>
      <c r="U27" s="365"/>
      <c r="V27" s="350"/>
      <c r="W27" s="209"/>
      <c r="Z27" s="34"/>
    </row>
    <row r="28" spans="1:27" ht="51.95" customHeight="1">
      <c r="A28" s="33">
        <v>22</v>
      </c>
      <c r="B28" s="27" t="s">
        <v>101</v>
      </c>
      <c r="C28" s="40">
        <v>1</v>
      </c>
      <c r="D28" s="40">
        <v>1</v>
      </c>
      <c r="E28" s="40"/>
      <c r="F28" s="40">
        <v>22</v>
      </c>
      <c r="G28" s="27" t="s">
        <v>55</v>
      </c>
      <c r="H28" s="71">
        <v>6</v>
      </c>
      <c r="I28" s="71">
        <v>6</v>
      </c>
      <c r="J28" s="71"/>
      <c r="K28" s="71"/>
      <c r="L28" s="168" t="s">
        <v>104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70"/>
      <c r="W28" s="32"/>
      <c r="Z28" s="1"/>
    </row>
    <row r="29" spans="1:27" ht="51.95" customHeight="1">
      <c r="A29" s="33">
        <v>23</v>
      </c>
      <c r="B29" s="27" t="s">
        <v>44</v>
      </c>
      <c r="C29" s="40">
        <v>2</v>
      </c>
      <c r="D29" s="40">
        <v>2</v>
      </c>
      <c r="E29" s="40"/>
      <c r="F29" s="40">
        <v>23</v>
      </c>
      <c r="G29" s="27" t="s">
        <v>73</v>
      </c>
      <c r="H29" s="71">
        <v>1</v>
      </c>
      <c r="I29" s="71">
        <v>1</v>
      </c>
      <c r="J29" s="71"/>
      <c r="K29" s="71"/>
      <c r="L29" s="40">
        <v>1</v>
      </c>
      <c r="M29" s="171" t="s">
        <v>120</v>
      </c>
      <c r="N29" s="172"/>
      <c r="O29" s="172"/>
      <c r="P29" s="172"/>
      <c r="Q29" s="172"/>
      <c r="R29" s="173"/>
      <c r="S29" s="49"/>
      <c r="T29" s="50"/>
      <c r="U29" s="51"/>
      <c r="V29" s="54"/>
      <c r="W29" s="178"/>
      <c r="Z29" s="1"/>
    </row>
    <row r="30" spans="1:27" ht="51.95" customHeight="1">
      <c r="A30" s="33">
        <v>24</v>
      </c>
      <c r="B30" s="27" t="s">
        <v>103</v>
      </c>
      <c r="C30" s="40">
        <v>1</v>
      </c>
      <c r="D30" s="40"/>
      <c r="E30" s="40">
        <v>1</v>
      </c>
      <c r="F30" s="40">
        <v>24</v>
      </c>
      <c r="G30" s="27" t="s">
        <v>97</v>
      </c>
      <c r="H30" s="71">
        <v>2</v>
      </c>
      <c r="I30" s="71"/>
      <c r="J30" s="71"/>
      <c r="K30" s="71"/>
      <c r="L30" s="152">
        <v>2</v>
      </c>
      <c r="M30" s="180" t="s">
        <v>119</v>
      </c>
      <c r="N30" s="181"/>
      <c r="O30" s="181"/>
      <c r="P30" s="181"/>
      <c r="Q30" s="181"/>
      <c r="R30" s="182"/>
      <c r="S30" s="160"/>
      <c r="T30" s="162"/>
      <c r="U30" s="163"/>
      <c r="V30" s="166"/>
      <c r="W30" s="179"/>
      <c r="Z30" s="1"/>
    </row>
    <row r="31" spans="1:27" ht="51.95" customHeight="1">
      <c r="A31" s="33">
        <v>25</v>
      </c>
      <c r="B31" s="27" t="s">
        <v>60</v>
      </c>
      <c r="C31" s="40">
        <v>3</v>
      </c>
      <c r="D31" s="40">
        <v>2</v>
      </c>
      <c r="E31" s="40">
        <v>1</v>
      </c>
      <c r="F31" s="40"/>
      <c r="G31" s="27"/>
      <c r="H31" s="27"/>
      <c r="I31" s="27"/>
      <c r="J31" s="27"/>
      <c r="K31" s="27"/>
      <c r="L31" s="153"/>
      <c r="M31" s="183"/>
      <c r="N31" s="184"/>
      <c r="O31" s="184"/>
      <c r="P31" s="184"/>
      <c r="Q31" s="184"/>
      <c r="R31" s="185"/>
      <c r="S31" s="161"/>
      <c r="T31" s="164"/>
      <c r="U31" s="165"/>
      <c r="V31" s="167"/>
      <c r="W31" s="179"/>
      <c r="Z31" s="1"/>
    </row>
    <row r="32" spans="1:27" ht="51.95" customHeight="1">
      <c r="A32" s="33">
        <v>26</v>
      </c>
      <c r="B32" s="27" t="s">
        <v>65</v>
      </c>
      <c r="C32" s="40">
        <v>3</v>
      </c>
      <c r="D32" s="40">
        <v>1</v>
      </c>
      <c r="E32" s="40">
        <v>2</v>
      </c>
      <c r="F32" s="40"/>
      <c r="G32" s="27"/>
      <c r="H32" s="27"/>
      <c r="I32" s="27"/>
      <c r="J32" s="27"/>
      <c r="K32" s="27"/>
      <c r="L32" s="186">
        <v>3</v>
      </c>
      <c r="M32" s="180" t="s">
        <v>128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33">
        <v>27</v>
      </c>
      <c r="B33" s="27" t="s">
        <v>62</v>
      </c>
      <c r="C33" s="40">
        <v>9</v>
      </c>
      <c r="D33" s="40">
        <v>6</v>
      </c>
      <c r="E33" s="40">
        <v>3</v>
      </c>
      <c r="F33" s="40"/>
      <c r="G33" s="27"/>
      <c r="H33" s="27"/>
      <c r="I33" s="27"/>
      <c r="J33" s="27"/>
      <c r="K33" s="27"/>
      <c r="L33" s="186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33">
        <v>28</v>
      </c>
      <c r="B34" s="27" t="s">
        <v>36</v>
      </c>
      <c r="C34" s="40">
        <v>1</v>
      </c>
      <c r="D34" s="40"/>
      <c r="E34" s="40">
        <v>1</v>
      </c>
      <c r="F34" s="40"/>
      <c r="G34" s="27"/>
      <c r="H34" s="27"/>
      <c r="I34" s="27"/>
      <c r="J34" s="27"/>
      <c r="K34" s="27"/>
      <c r="L34" s="152"/>
      <c r="M34" s="154"/>
      <c r="N34" s="155"/>
      <c r="O34" s="155"/>
      <c r="P34" s="155"/>
      <c r="Q34" s="155"/>
      <c r="R34" s="156"/>
      <c r="S34" s="160"/>
      <c r="T34" s="162"/>
      <c r="U34" s="163"/>
      <c r="V34" s="166"/>
      <c r="W34" s="16"/>
      <c r="Z34" s="1"/>
    </row>
    <row r="35" spans="1:27" ht="51.95" customHeight="1">
      <c r="A35" s="33">
        <v>29</v>
      </c>
      <c r="B35" s="27" t="s">
        <v>93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3"/>
      <c r="M35" s="157"/>
      <c r="N35" s="158"/>
      <c r="O35" s="158"/>
      <c r="P35" s="158"/>
      <c r="Q35" s="158"/>
      <c r="R35" s="159"/>
      <c r="S35" s="161"/>
      <c r="T35" s="164"/>
      <c r="U35" s="165"/>
      <c r="V35" s="167"/>
      <c r="W35" s="16"/>
      <c r="Z35" s="1"/>
    </row>
    <row r="36" spans="1:27" ht="51.95" customHeight="1">
      <c r="A36" s="33">
        <v>30</v>
      </c>
      <c r="B36" s="27" t="s">
        <v>46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27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  <c r="Z36" s="1"/>
    </row>
    <row r="37" spans="1:27" ht="51.95" customHeight="1">
      <c r="A37" s="33">
        <v>31</v>
      </c>
      <c r="B37" s="27" t="s">
        <v>95</v>
      </c>
      <c r="C37" s="40">
        <v>8</v>
      </c>
      <c r="D37" s="40"/>
      <c r="E37" s="40">
        <v>8</v>
      </c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33">
        <v>32</v>
      </c>
      <c r="B38" s="70" t="s">
        <v>118</v>
      </c>
      <c r="C38" s="64">
        <v>4</v>
      </c>
      <c r="D38" s="64">
        <v>4</v>
      </c>
      <c r="E38" s="64"/>
      <c r="F38" s="64"/>
      <c r="G38" s="70"/>
      <c r="H38" s="70"/>
      <c r="I38" s="70"/>
      <c r="J38" s="70"/>
      <c r="K38" s="7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93</v>
      </c>
      <c r="D39" s="61">
        <f>SUM(D7:D38)</f>
        <v>53</v>
      </c>
      <c r="E39" s="61">
        <f>SUM(E7:E38)</f>
        <v>39</v>
      </c>
      <c r="F39" s="151" t="s">
        <v>9</v>
      </c>
      <c r="G39" s="151"/>
      <c r="H39" s="75">
        <f>SUM(H7:H37)</f>
        <v>73</v>
      </c>
      <c r="I39" s="60">
        <f>SUM(I7:I37)</f>
        <v>60</v>
      </c>
      <c r="J39" s="75">
        <f>SUM(J7:J37)</f>
        <v>9</v>
      </c>
      <c r="K39" s="75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05" customHeight="1">
      <c r="A42" s="13">
        <v>1</v>
      </c>
      <c r="B42" s="74" t="s">
        <v>135</v>
      </c>
      <c r="C42" s="134"/>
      <c r="D42" s="135"/>
      <c r="E42" s="109">
        <v>96</v>
      </c>
      <c r="F42" s="111"/>
      <c r="G42" s="110"/>
      <c r="H42" s="134">
        <v>0.7</v>
      </c>
      <c r="I42" s="136"/>
      <c r="J42" s="135"/>
      <c r="K42" s="134">
        <v>96.2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77">
        <f>K42+H42</f>
        <v>96.9</v>
      </c>
      <c r="Y42" s="8"/>
    </row>
    <row r="43" spans="1:27" ht="110.25" customHeight="1">
      <c r="A43" s="13">
        <v>2</v>
      </c>
      <c r="B43" s="74" t="s">
        <v>136</v>
      </c>
      <c r="C43" s="117"/>
      <c r="D43" s="118"/>
      <c r="E43" s="109">
        <v>2527</v>
      </c>
      <c r="F43" s="111"/>
      <c r="G43" s="110"/>
      <c r="H43" s="134">
        <v>2</v>
      </c>
      <c r="I43" s="136"/>
      <c r="J43" s="135"/>
      <c r="K43" s="134">
        <v>673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78">
        <f t="shared" ref="W43:W50" si="2">K43+H43</f>
        <v>675</v>
      </c>
      <c r="X43" s="2"/>
      <c r="Y43" s="7"/>
      <c r="Z43" s="7"/>
      <c r="AA43" s="9"/>
    </row>
    <row r="44" spans="1:27" ht="90.75" customHeight="1">
      <c r="A44" s="13">
        <v>3</v>
      </c>
      <c r="B44" s="74" t="s">
        <v>80</v>
      </c>
      <c r="C44" s="122"/>
      <c r="D44" s="123"/>
      <c r="E44" s="109">
        <v>118000</v>
      </c>
      <c r="F44" s="111"/>
      <c r="G44" s="110"/>
      <c r="H44" s="109">
        <v>1350</v>
      </c>
      <c r="I44" s="111"/>
      <c r="J44" s="110"/>
      <c r="K44" s="109">
        <v>113336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114686</v>
      </c>
      <c r="X44" s="2"/>
      <c r="Y44" s="7"/>
      <c r="Z44" s="7"/>
      <c r="AA44" s="9"/>
    </row>
    <row r="45" spans="1:27" ht="65.099999999999994" customHeight="1">
      <c r="A45" s="13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/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13">
        <v>5</v>
      </c>
      <c r="B46" s="74" t="s">
        <v>114</v>
      </c>
      <c r="C46" s="122"/>
      <c r="D46" s="123"/>
      <c r="E46" s="109">
        <v>1162</v>
      </c>
      <c r="F46" s="111"/>
      <c r="G46" s="110"/>
      <c r="H46" s="109"/>
      <c r="I46" s="111"/>
      <c r="J46" s="110"/>
      <c r="K46" s="109">
        <v>1162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1162</v>
      </c>
      <c r="X46" s="2"/>
      <c r="Y46" s="7"/>
      <c r="Z46" s="7"/>
      <c r="AA46" s="9"/>
    </row>
    <row r="47" spans="1:27" ht="65.099999999999994" customHeight="1">
      <c r="A47" s="13">
        <v>6</v>
      </c>
      <c r="B47" s="74" t="s">
        <v>115</v>
      </c>
      <c r="C47" s="122">
        <v>95</v>
      </c>
      <c r="D47" s="123"/>
      <c r="E47" s="109">
        <v>6703</v>
      </c>
      <c r="F47" s="111"/>
      <c r="G47" s="110"/>
      <c r="H47" s="109">
        <v>95</v>
      </c>
      <c r="I47" s="111"/>
      <c r="J47" s="110"/>
      <c r="K47" s="109">
        <v>6703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6798</v>
      </c>
      <c r="X47" s="2"/>
      <c r="Y47" s="7"/>
      <c r="Z47" s="7"/>
      <c r="AA47" s="9"/>
    </row>
    <row r="48" spans="1:27" ht="65.099999999999994" customHeight="1">
      <c r="A48" s="13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/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13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/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13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/>
      <c r="I50" s="111"/>
      <c r="J50" s="110"/>
      <c r="K50" s="109">
        <v>200</v>
      </c>
      <c r="L50" s="111"/>
      <c r="M50" s="111"/>
      <c r="N50" s="110"/>
      <c r="O50" s="112"/>
      <c r="P50" s="112"/>
      <c r="Q50" s="112"/>
      <c r="R50" s="112"/>
      <c r="S50" s="112"/>
      <c r="T50" s="112"/>
      <c r="U50" s="112"/>
      <c r="V50" s="113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42.7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4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5" t="s">
        <v>67</v>
      </c>
      <c r="P54" s="105"/>
      <c r="Q54" s="105"/>
      <c r="R54" s="105"/>
      <c r="S54" s="105"/>
      <c r="T54" s="105"/>
      <c r="U54" s="105"/>
      <c r="V54" s="106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5"/>
      <c r="P55" s="105"/>
      <c r="Q55" s="105"/>
      <c r="R55" s="105"/>
      <c r="S55" s="105"/>
      <c r="T55" s="105"/>
      <c r="U55" s="105"/>
      <c r="V55" s="106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/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7"/>
      <c r="P58" s="107"/>
      <c r="Q58" s="107"/>
      <c r="R58" s="107"/>
      <c r="S58" s="107"/>
      <c r="T58" s="107"/>
      <c r="U58" s="107"/>
      <c r="V58" s="108"/>
    </row>
    <row r="61" spans="1:27">
      <c r="S61" s="28"/>
      <c r="T61" s="28"/>
      <c r="U61" s="28"/>
    </row>
    <row r="62" spans="1:27">
      <c r="G62" s="12" t="s">
        <v>58</v>
      </c>
      <c r="H62" s="24">
        <v>1</v>
      </c>
      <c r="I62" s="24"/>
      <c r="J62" s="24">
        <v>1</v>
      </c>
      <c r="S62" s="28"/>
      <c r="T62" s="28">
        <v>17</v>
      </c>
      <c r="U62" s="29"/>
    </row>
    <row r="63" spans="1:27">
      <c r="G63" s="12" t="s">
        <v>103</v>
      </c>
      <c r="H63" s="24">
        <v>1</v>
      </c>
      <c r="I63" s="24">
        <v>1</v>
      </c>
      <c r="J63" s="24"/>
      <c r="S63" s="28"/>
      <c r="T63" s="28">
        <v>17</v>
      </c>
      <c r="U63" s="30"/>
    </row>
    <row r="64" spans="1:27">
      <c r="G64" s="12" t="s">
        <v>44</v>
      </c>
      <c r="H64" s="24">
        <v>2</v>
      </c>
      <c r="I64" s="24">
        <v>2</v>
      </c>
      <c r="J64" s="24"/>
      <c r="S64" s="28"/>
      <c r="T64" s="28">
        <v>17</v>
      </c>
      <c r="U64" s="28"/>
    </row>
    <row r="65" spans="1:31">
      <c r="G65" s="12" t="s">
        <v>8</v>
      </c>
      <c r="H65" s="24">
        <v>8</v>
      </c>
      <c r="I65" s="24">
        <v>8</v>
      </c>
      <c r="J65" s="24"/>
      <c r="T65" s="3">
        <v>17</v>
      </c>
    </row>
    <row r="66" spans="1:31">
      <c r="G66" s="12" t="s">
        <v>101</v>
      </c>
      <c r="H66" s="24">
        <v>1</v>
      </c>
      <c r="I66" s="24">
        <v>1</v>
      </c>
      <c r="J66" s="24"/>
      <c r="T66" s="3">
        <v>19</v>
      </c>
    </row>
    <row r="67" spans="1:31">
      <c r="G67" s="12" t="s">
        <v>63</v>
      </c>
      <c r="H67" s="24">
        <v>8</v>
      </c>
      <c r="I67" s="24">
        <v>7</v>
      </c>
      <c r="J67" s="24">
        <v>1</v>
      </c>
      <c r="T67" s="3">
        <v>20</v>
      </c>
    </row>
    <row r="68" spans="1:31">
      <c r="G68" s="12" t="s">
        <v>17</v>
      </c>
      <c r="H68" s="24">
        <v>7</v>
      </c>
      <c r="I68" s="24">
        <v>6</v>
      </c>
      <c r="J68" s="24">
        <v>1</v>
      </c>
      <c r="T68" s="3">
        <v>21</v>
      </c>
    </row>
    <row r="69" spans="1:31">
      <c r="G69" s="12" t="s">
        <v>65</v>
      </c>
      <c r="H69" s="24">
        <v>2</v>
      </c>
      <c r="I69" s="24">
        <v>2</v>
      </c>
      <c r="J69" s="24"/>
      <c r="T69" s="3">
        <v>18</v>
      </c>
    </row>
    <row r="70" spans="1:31">
      <c r="G70" s="12" t="s">
        <v>62</v>
      </c>
      <c r="H70" s="24">
        <v>7</v>
      </c>
      <c r="I70" s="24">
        <v>6</v>
      </c>
      <c r="J70" s="24">
        <v>1</v>
      </c>
      <c r="T70" s="3">
        <v>18.600000000000001</v>
      </c>
    </row>
    <row r="71" spans="1:31" s="3" customFormat="1">
      <c r="A71"/>
      <c r="B71" s="15"/>
      <c r="G71" s="12" t="s">
        <v>36</v>
      </c>
      <c r="H71" s="24">
        <f>J72+I71</f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43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45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93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46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60</v>
      </c>
      <c r="H76" s="24">
        <v>4</v>
      </c>
      <c r="I76" s="24">
        <v>4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48</v>
      </c>
      <c r="H77" s="24">
        <v>1</v>
      </c>
      <c r="I77" s="24"/>
      <c r="J77" s="24">
        <v>1</v>
      </c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95</v>
      </c>
      <c r="H78" s="24">
        <v>6</v>
      </c>
      <c r="I78" s="24">
        <v>6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47">
    <mergeCell ref="A52:V52"/>
    <mergeCell ref="A53:N53"/>
    <mergeCell ref="O53:V53"/>
    <mergeCell ref="A54:N58"/>
    <mergeCell ref="O54:V58"/>
    <mergeCell ref="C50:D50"/>
    <mergeCell ref="E50:G50"/>
    <mergeCell ref="H50:J50"/>
    <mergeCell ref="K50:N50"/>
    <mergeCell ref="O50:V50"/>
    <mergeCell ref="A51:V51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1:D41"/>
    <mergeCell ref="E41:G41"/>
    <mergeCell ref="H41:J41"/>
    <mergeCell ref="K41:N41"/>
    <mergeCell ref="O41:R41"/>
    <mergeCell ref="M36:R36"/>
    <mergeCell ref="M37:R37"/>
    <mergeCell ref="M38:R38"/>
    <mergeCell ref="A39:B39"/>
    <mergeCell ref="F39:G39"/>
    <mergeCell ref="M39:R39"/>
    <mergeCell ref="L34:L35"/>
    <mergeCell ref="M34:R35"/>
    <mergeCell ref="S34:S35"/>
    <mergeCell ref="T34:U35"/>
    <mergeCell ref="V34:V35"/>
    <mergeCell ref="L28:V28"/>
    <mergeCell ref="M29:R29"/>
    <mergeCell ref="A40:N40"/>
    <mergeCell ref="O40:V40"/>
    <mergeCell ref="W29:W33"/>
    <mergeCell ref="L30:L31"/>
    <mergeCell ref="M30:R31"/>
    <mergeCell ref="S30:S31"/>
    <mergeCell ref="T30:U31"/>
    <mergeCell ref="V30:V31"/>
    <mergeCell ref="L32:L33"/>
    <mergeCell ref="M32:R33"/>
    <mergeCell ref="L22:L27"/>
    <mergeCell ref="M22:R27"/>
    <mergeCell ref="S22:S27"/>
    <mergeCell ref="T22:U27"/>
    <mergeCell ref="V22:V27"/>
    <mergeCell ref="W25:W27"/>
    <mergeCell ref="S32:S33"/>
    <mergeCell ref="T32:U33"/>
    <mergeCell ref="V32:V33"/>
    <mergeCell ref="V17:V18"/>
    <mergeCell ref="L19:L21"/>
    <mergeCell ref="M19:R21"/>
    <mergeCell ref="S19:S21"/>
    <mergeCell ref="T19:U21"/>
    <mergeCell ref="V19:V21"/>
    <mergeCell ref="M16:R16"/>
    <mergeCell ref="T16:U16"/>
    <mergeCell ref="L17:L18"/>
    <mergeCell ref="M17:R18"/>
    <mergeCell ref="S17:S18"/>
    <mergeCell ref="T17:U1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</mergeCells>
  <printOptions horizontalCentered="1" verticalCentered="1"/>
  <pageMargins left="0.15" right="0.15" top="0.5" bottom="0.8" header="0" footer="0"/>
  <pageSetup paperSize="9" scale="2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72DF-ABC2-4073-B26C-88EB9358FF38}">
  <sheetPr>
    <pageSetUpPr fitToPage="1"/>
  </sheetPr>
  <dimension ref="A1:AH111"/>
  <sheetViews>
    <sheetView rightToLeft="1" view="pageBreakPreview" topLeftCell="A43" zoomScale="40" zoomScaleNormal="110" zoomScaleSheetLayoutView="40" workbookViewId="0">
      <selection activeCell="Z12" sqref="Z12:AF13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9.140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16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151</v>
      </c>
      <c r="S1" s="297"/>
      <c r="T1" s="300" t="s">
        <v>152</v>
      </c>
      <c r="U1" s="300"/>
      <c r="V1" s="302" t="s">
        <v>153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303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303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154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273" t="s">
        <v>2</v>
      </c>
      <c r="M7" s="274" t="s">
        <v>28</v>
      </c>
      <c r="N7" s="275"/>
      <c r="O7" s="275"/>
      <c r="P7" s="275"/>
      <c r="Q7" s="275"/>
      <c r="R7" s="275"/>
      <c r="S7" s="278" t="s">
        <v>26</v>
      </c>
      <c r="T7" s="280" t="s">
        <v>27</v>
      </c>
      <c r="U7" s="280"/>
      <c r="V7" s="278" t="s">
        <v>82</v>
      </c>
      <c r="W7" s="19"/>
    </row>
    <row r="8" spans="1:34" ht="51.9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273"/>
      <c r="M8" s="276"/>
      <c r="N8" s="277"/>
      <c r="O8" s="277"/>
      <c r="P8" s="277"/>
      <c r="Q8" s="277"/>
      <c r="R8" s="277"/>
      <c r="S8" s="279"/>
      <c r="T8" s="281"/>
      <c r="U8" s="281"/>
      <c r="V8" s="279"/>
      <c r="W8" s="19"/>
      <c r="AA8" s="6"/>
      <c r="AB8" s="6"/>
      <c r="AC8" s="6"/>
      <c r="AD8" s="6"/>
      <c r="AE8" s="6"/>
    </row>
    <row r="9" spans="1:34" ht="51.9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/>
      <c r="J9" s="71">
        <v>1</v>
      </c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251" t="s">
        <v>57</v>
      </c>
      <c r="T9" s="348">
        <v>0</v>
      </c>
      <c r="U9" s="348"/>
      <c r="V9" s="349">
        <v>492480</v>
      </c>
      <c r="X9" s="5"/>
      <c r="Y9" s="5">
        <v>3000</v>
      </c>
      <c r="Z9" s="5"/>
    </row>
    <row r="10" spans="1:34" ht="51.9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/>
      <c r="J10" s="71">
        <v>1</v>
      </c>
      <c r="K10" s="71"/>
      <c r="L10" s="186"/>
      <c r="M10" s="250"/>
      <c r="N10" s="250"/>
      <c r="O10" s="250"/>
      <c r="P10" s="250"/>
      <c r="Q10" s="250"/>
      <c r="R10" s="250"/>
      <c r="S10" s="251"/>
      <c r="T10" s="348"/>
      <c r="U10" s="348"/>
      <c r="V10" s="350"/>
      <c r="W10" s="19"/>
      <c r="AA10" s="6"/>
      <c r="AB10" s="6"/>
      <c r="AC10" s="6"/>
      <c r="AD10" s="6"/>
      <c r="AE10" s="6"/>
    </row>
    <row r="11" spans="1:34" ht="60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2</v>
      </c>
      <c r="J11" s="71">
        <v>4</v>
      </c>
      <c r="K11" s="71"/>
      <c r="L11" s="186">
        <v>2</v>
      </c>
      <c r="M11" s="351" t="s">
        <v>149</v>
      </c>
      <c r="N11" s="352"/>
      <c r="O11" s="352"/>
      <c r="P11" s="352"/>
      <c r="Q11" s="352"/>
      <c r="R11" s="353"/>
      <c r="S11" s="243" t="s">
        <v>57</v>
      </c>
      <c r="T11" s="360">
        <v>0</v>
      </c>
      <c r="U11" s="361"/>
      <c r="V11" s="349">
        <v>186495</v>
      </c>
      <c r="W11" s="236">
        <f>V11+T11</f>
        <v>186495</v>
      </c>
      <c r="AA11" s="6"/>
      <c r="AB11" s="6"/>
      <c r="AC11" s="6"/>
      <c r="AD11" s="6"/>
      <c r="AE11" s="6"/>
    </row>
    <row r="12" spans="1:34" ht="60" customHeight="1">
      <c r="A12" s="33">
        <v>6</v>
      </c>
      <c r="B12" s="69" t="s">
        <v>39</v>
      </c>
      <c r="C12" s="40">
        <v>1</v>
      </c>
      <c r="D12" s="40"/>
      <c r="E12" s="40">
        <v>1</v>
      </c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354"/>
      <c r="N12" s="355"/>
      <c r="O12" s="355"/>
      <c r="P12" s="355"/>
      <c r="Q12" s="355"/>
      <c r="R12" s="356"/>
      <c r="S12" s="262"/>
      <c r="T12" s="362"/>
      <c r="U12" s="363"/>
      <c r="V12" s="36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33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72">
        <v>1</v>
      </c>
      <c r="I13" s="72">
        <v>1</v>
      </c>
      <c r="J13" s="72"/>
      <c r="K13" s="71"/>
      <c r="L13" s="186"/>
      <c r="M13" s="354"/>
      <c r="N13" s="355"/>
      <c r="O13" s="355"/>
      <c r="P13" s="355"/>
      <c r="Q13" s="355"/>
      <c r="R13" s="356"/>
      <c r="S13" s="262"/>
      <c r="T13" s="362"/>
      <c r="U13" s="363"/>
      <c r="V13" s="36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60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1</v>
      </c>
      <c r="J14" s="71"/>
      <c r="K14" s="71">
        <v>1</v>
      </c>
      <c r="L14" s="186"/>
      <c r="M14" s="357"/>
      <c r="N14" s="358"/>
      <c r="O14" s="358"/>
      <c r="P14" s="358"/>
      <c r="Q14" s="358"/>
      <c r="R14" s="359"/>
      <c r="S14" s="244"/>
      <c r="T14" s="364"/>
      <c r="U14" s="365"/>
      <c r="V14" s="350"/>
      <c r="W14" s="236"/>
    </row>
    <row r="15" spans="1:34" ht="51.95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79">
        <v>51330</v>
      </c>
      <c r="W15" s="39">
        <f>V15+T15</f>
        <v>51330</v>
      </c>
    </row>
    <row r="16" spans="1:34" ht="51.95" customHeight="1">
      <c r="A16" s="33">
        <v>10</v>
      </c>
      <c r="B16" s="67" t="s">
        <v>113</v>
      </c>
      <c r="C16" s="40">
        <v>1</v>
      </c>
      <c r="D16" s="40">
        <v>1</v>
      </c>
      <c r="E16" s="40"/>
      <c r="F16" s="40">
        <v>10</v>
      </c>
      <c r="G16" s="24" t="s">
        <v>70</v>
      </c>
      <c r="H16" s="71">
        <v>3</v>
      </c>
      <c r="I16" s="71">
        <v>2</v>
      </c>
      <c r="J16" s="71">
        <v>1</v>
      </c>
      <c r="K16" s="71"/>
      <c r="L16" s="40">
        <v>4</v>
      </c>
      <c r="M16" s="140" t="s">
        <v>116</v>
      </c>
      <c r="N16" s="141"/>
      <c r="O16" s="141"/>
      <c r="P16" s="141"/>
      <c r="Q16" s="141"/>
      <c r="R16" s="142"/>
      <c r="S16" s="35" t="s">
        <v>85</v>
      </c>
      <c r="T16" s="373">
        <v>0</v>
      </c>
      <c r="U16" s="374"/>
      <c r="V16" s="79">
        <v>43476</v>
      </c>
      <c r="W16" s="47">
        <f>V16+T16</f>
        <v>43476</v>
      </c>
    </row>
    <row r="17" spans="1:27" ht="51.95" customHeight="1">
      <c r="A17" s="33">
        <v>11</v>
      </c>
      <c r="B17" s="27" t="s">
        <v>21</v>
      </c>
      <c r="C17" s="40">
        <v>2</v>
      </c>
      <c r="D17" s="40">
        <v>2</v>
      </c>
      <c r="E17" s="40"/>
      <c r="F17" s="40">
        <v>11</v>
      </c>
      <c r="G17" s="27" t="s">
        <v>102</v>
      </c>
      <c r="H17" s="71">
        <v>2</v>
      </c>
      <c r="I17" s="71">
        <v>2</v>
      </c>
      <c r="J17" s="71"/>
      <c r="K17" s="71"/>
      <c r="L17" s="186">
        <v>5</v>
      </c>
      <c r="M17" s="230" t="s">
        <v>127</v>
      </c>
      <c r="N17" s="231"/>
      <c r="O17" s="231"/>
      <c r="P17" s="231"/>
      <c r="Q17" s="231"/>
      <c r="R17" s="232"/>
      <c r="S17" s="160" t="s">
        <v>85</v>
      </c>
      <c r="T17" s="367">
        <v>0</v>
      </c>
      <c r="U17" s="368"/>
      <c r="V17" s="349">
        <v>91806</v>
      </c>
      <c r="W17" s="47">
        <f>V17+T17</f>
        <v>91806</v>
      </c>
      <c r="X17">
        <v>1</v>
      </c>
      <c r="Z17" s="1"/>
    </row>
    <row r="18" spans="1:27" ht="51.95" customHeight="1">
      <c r="A18" s="33">
        <v>12</v>
      </c>
      <c r="B18" s="27" t="s">
        <v>105</v>
      </c>
      <c r="C18" s="40">
        <v>1</v>
      </c>
      <c r="D18" s="40"/>
      <c r="E18" s="40">
        <v>1</v>
      </c>
      <c r="F18" s="40">
        <v>12</v>
      </c>
      <c r="G18" s="27" t="s">
        <v>78</v>
      </c>
      <c r="H18" s="71">
        <v>5</v>
      </c>
      <c r="I18" s="71">
        <v>4</v>
      </c>
      <c r="J18" s="71">
        <v>1</v>
      </c>
      <c r="K18" s="71"/>
      <c r="L18" s="186"/>
      <c r="M18" s="233"/>
      <c r="N18" s="234"/>
      <c r="O18" s="234"/>
      <c r="P18" s="234"/>
      <c r="Q18" s="234"/>
      <c r="R18" s="235"/>
      <c r="S18" s="161"/>
      <c r="T18" s="371"/>
      <c r="U18" s="372"/>
      <c r="V18" s="350"/>
      <c r="W18" s="32"/>
      <c r="Z18" s="1"/>
    </row>
    <row r="19" spans="1:27" ht="51.95" customHeight="1">
      <c r="A19" s="33">
        <v>13</v>
      </c>
      <c r="B19" s="27" t="s">
        <v>117</v>
      </c>
      <c r="C19" s="40">
        <v>1</v>
      </c>
      <c r="D19" s="40"/>
      <c r="E19" s="40">
        <v>1</v>
      </c>
      <c r="F19" s="40">
        <v>13</v>
      </c>
      <c r="G19" s="27" t="s">
        <v>19</v>
      </c>
      <c r="H19" s="71">
        <v>2</v>
      </c>
      <c r="I19" s="71">
        <v>2</v>
      </c>
      <c r="J19" s="71"/>
      <c r="K19" s="71"/>
      <c r="L19" s="152">
        <v>6</v>
      </c>
      <c r="M19" s="212" t="s">
        <v>121</v>
      </c>
      <c r="N19" s="213"/>
      <c r="O19" s="213"/>
      <c r="P19" s="213"/>
      <c r="Q19" s="213"/>
      <c r="R19" s="214"/>
      <c r="S19" s="160" t="s">
        <v>85</v>
      </c>
      <c r="T19" s="367">
        <v>0</v>
      </c>
      <c r="U19" s="368"/>
      <c r="V19" s="349">
        <v>40481</v>
      </c>
      <c r="W19" s="32"/>
      <c r="Z19" s="1"/>
    </row>
    <row r="20" spans="1:27" ht="51.95" customHeight="1">
      <c r="A20" s="33">
        <v>14</v>
      </c>
      <c r="B20" s="31" t="s">
        <v>37</v>
      </c>
      <c r="C20" s="40">
        <v>1</v>
      </c>
      <c r="D20" s="40"/>
      <c r="E20" s="40">
        <v>1</v>
      </c>
      <c r="F20" s="40">
        <v>14</v>
      </c>
      <c r="G20" s="27" t="s">
        <v>59</v>
      </c>
      <c r="H20" s="71">
        <v>1</v>
      </c>
      <c r="I20" s="71"/>
      <c r="J20" s="71">
        <v>1</v>
      </c>
      <c r="K20" s="71"/>
      <c r="L20" s="187"/>
      <c r="M20" s="215"/>
      <c r="N20" s="216"/>
      <c r="O20" s="216"/>
      <c r="P20" s="216"/>
      <c r="Q20" s="216"/>
      <c r="R20" s="217"/>
      <c r="S20" s="221"/>
      <c r="T20" s="369"/>
      <c r="U20" s="370"/>
      <c r="V20" s="366"/>
      <c r="W20" s="47">
        <f>V19+T19</f>
        <v>40481</v>
      </c>
      <c r="Z20" s="1"/>
    </row>
    <row r="21" spans="1:27" ht="51.95" customHeight="1">
      <c r="A21" s="33">
        <v>15</v>
      </c>
      <c r="B21" s="14" t="s">
        <v>94</v>
      </c>
      <c r="C21" s="40">
        <v>1</v>
      </c>
      <c r="D21" s="40">
        <v>1</v>
      </c>
      <c r="E21" s="40"/>
      <c r="F21" s="40">
        <v>15</v>
      </c>
      <c r="G21" s="27" t="s">
        <v>92</v>
      </c>
      <c r="H21" s="71">
        <v>1</v>
      </c>
      <c r="I21" s="71">
        <v>1</v>
      </c>
      <c r="J21" s="73"/>
      <c r="K21" s="71"/>
      <c r="L21" s="187"/>
      <c r="M21" s="218"/>
      <c r="N21" s="219"/>
      <c r="O21" s="219"/>
      <c r="P21" s="219"/>
      <c r="Q21" s="219"/>
      <c r="R21" s="220"/>
      <c r="S21" s="161"/>
      <c r="T21" s="371"/>
      <c r="U21" s="372"/>
      <c r="V21" s="350"/>
      <c r="W21" s="32"/>
      <c r="Z21" s="1"/>
    </row>
    <row r="22" spans="1:27" ht="51.95" customHeight="1">
      <c r="A22" s="33">
        <v>16</v>
      </c>
      <c r="B22" s="27" t="s">
        <v>8</v>
      </c>
      <c r="C22" s="59">
        <v>12</v>
      </c>
      <c r="D22" s="40">
        <v>4</v>
      </c>
      <c r="E22" s="40">
        <v>8</v>
      </c>
      <c r="F22" s="40">
        <v>16</v>
      </c>
      <c r="G22" s="27" t="s">
        <v>7</v>
      </c>
      <c r="H22" s="71">
        <v>3</v>
      </c>
      <c r="I22" s="71">
        <v>3</v>
      </c>
      <c r="J22" s="71"/>
      <c r="K22" s="71"/>
      <c r="L22" s="152">
        <v>7</v>
      </c>
      <c r="M22" s="375" t="s">
        <v>150</v>
      </c>
      <c r="N22" s="376"/>
      <c r="O22" s="376"/>
      <c r="P22" s="376"/>
      <c r="Q22" s="376"/>
      <c r="R22" s="377"/>
      <c r="S22" s="197" t="s">
        <v>85</v>
      </c>
      <c r="T22" s="360">
        <v>0</v>
      </c>
      <c r="U22" s="361"/>
      <c r="V22" s="349">
        <v>30524</v>
      </c>
      <c r="Z22" s="1"/>
    </row>
    <row r="23" spans="1:27" ht="51.95" customHeight="1">
      <c r="A23" s="33">
        <v>17</v>
      </c>
      <c r="B23" s="27" t="s">
        <v>63</v>
      </c>
      <c r="C23" s="59">
        <v>14</v>
      </c>
      <c r="D23" s="40">
        <v>7</v>
      </c>
      <c r="E23" s="40">
        <v>7</v>
      </c>
      <c r="F23" s="40">
        <v>17</v>
      </c>
      <c r="G23" s="27" t="s">
        <v>14</v>
      </c>
      <c r="H23" s="71">
        <v>4</v>
      </c>
      <c r="I23" s="71">
        <v>3</v>
      </c>
      <c r="J23" s="71"/>
      <c r="K23" s="71">
        <v>1</v>
      </c>
      <c r="L23" s="187"/>
      <c r="M23" s="378"/>
      <c r="N23" s="379"/>
      <c r="O23" s="379"/>
      <c r="P23" s="379"/>
      <c r="Q23" s="379"/>
      <c r="R23" s="380"/>
      <c r="S23" s="198"/>
      <c r="T23" s="362"/>
      <c r="U23" s="363"/>
      <c r="V23" s="366"/>
      <c r="W23" s="32"/>
      <c r="Z23" s="1"/>
    </row>
    <row r="24" spans="1:27" ht="51.95" customHeight="1">
      <c r="A24" s="33">
        <v>18</v>
      </c>
      <c r="B24" s="27" t="s">
        <v>17</v>
      </c>
      <c r="C24" s="40">
        <v>7</v>
      </c>
      <c r="D24" s="40">
        <v>5</v>
      </c>
      <c r="E24" s="40">
        <v>2</v>
      </c>
      <c r="F24" s="40">
        <v>18</v>
      </c>
      <c r="G24" s="27" t="s">
        <v>15</v>
      </c>
      <c r="H24" s="71">
        <v>1</v>
      </c>
      <c r="I24" s="71">
        <v>1</v>
      </c>
      <c r="J24" s="71"/>
      <c r="K24" s="71"/>
      <c r="L24" s="187"/>
      <c r="M24" s="378"/>
      <c r="N24" s="379"/>
      <c r="O24" s="379"/>
      <c r="P24" s="379"/>
      <c r="Q24" s="379"/>
      <c r="R24" s="380"/>
      <c r="S24" s="198"/>
      <c r="T24" s="362"/>
      <c r="U24" s="363"/>
      <c r="V24" s="366"/>
      <c r="W24" s="32"/>
      <c r="Z24" s="1">
        <v>35734</v>
      </c>
      <c r="AA24">
        <f>Z24/Z25</f>
        <v>0.30193748996611719</v>
      </c>
    </row>
    <row r="25" spans="1:27" s="6" customFormat="1" ht="51.95" customHeight="1">
      <c r="A25" s="33">
        <v>19</v>
      </c>
      <c r="B25" s="27" t="s">
        <v>43</v>
      </c>
      <c r="C25" s="40">
        <v>1</v>
      </c>
      <c r="D25" s="40"/>
      <c r="E25" s="40">
        <v>1</v>
      </c>
      <c r="F25" s="40">
        <v>19</v>
      </c>
      <c r="G25" s="27" t="s">
        <v>40</v>
      </c>
      <c r="H25" s="71">
        <v>2</v>
      </c>
      <c r="I25" s="71">
        <v>2</v>
      </c>
      <c r="J25" s="71"/>
      <c r="K25" s="71"/>
      <c r="L25" s="187"/>
      <c r="M25" s="378"/>
      <c r="N25" s="379"/>
      <c r="O25" s="379"/>
      <c r="P25" s="379"/>
      <c r="Q25" s="379"/>
      <c r="R25" s="380"/>
      <c r="S25" s="198"/>
      <c r="T25" s="362"/>
      <c r="U25" s="363"/>
      <c r="V25" s="366"/>
      <c r="W25" s="209">
        <f>V22+T22</f>
        <v>30524</v>
      </c>
      <c r="Z25" s="34">
        <v>118349</v>
      </c>
    </row>
    <row r="26" spans="1:27" s="6" customFormat="1" ht="51.95" customHeight="1">
      <c r="A26" s="33">
        <v>20</v>
      </c>
      <c r="B26" s="27" t="s">
        <v>45</v>
      </c>
      <c r="C26" s="40">
        <v>2</v>
      </c>
      <c r="D26" s="40">
        <v>1</v>
      </c>
      <c r="E26" s="40">
        <v>1</v>
      </c>
      <c r="F26" s="40">
        <v>20</v>
      </c>
      <c r="G26" s="27" t="s">
        <v>53</v>
      </c>
      <c r="H26" s="71">
        <v>20</v>
      </c>
      <c r="I26" s="71">
        <v>20</v>
      </c>
      <c r="J26" s="71"/>
      <c r="K26" s="71"/>
      <c r="L26" s="187"/>
      <c r="M26" s="378"/>
      <c r="N26" s="379"/>
      <c r="O26" s="379"/>
      <c r="P26" s="379"/>
      <c r="Q26" s="379"/>
      <c r="R26" s="380"/>
      <c r="S26" s="198"/>
      <c r="T26" s="362"/>
      <c r="U26" s="363"/>
      <c r="V26" s="366"/>
      <c r="W26" s="209"/>
      <c r="Z26" s="34"/>
    </row>
    <row r="27" spans="1:27" s="6" customFormat="1" ht="51.95" customHeight="1">
      <c r="A27" s="33">
        <v>21</v>
      </c>
      <c r="B27" s="27" t="s">
        <v>58</v>
      </c>
      <c r="C27" s="40">
        <v>1</v>
      </c>
      <c r="D27" s="40">
        <v>1</v>
      </c>
      <c r="E27" s="40"/>
      <c r="F27" s="40">
        <v>21</v>
      </c>
      <c r="G27" s="27" t="s">
        <v>54</v>
      </c>
      <c r="H27" s="71">
        <v>5</v>
      </c>
      <c r="I27" s="71">
        <v>5</v>
      </c>
      <c r="J27" s="71"/>
      <c r="K27" s="71"/>
      <c r="L27" s="153"/>
      <c r="M27" s="381"/>
      <c r="N27" s="382"/>
      <c r="O27" s="382"/>
      <c r="P27" s="382"/>
      <c r="Q27" s="382"/>
      <c r="R27" s="383"/>
      <c r="S27" s="199"/>
      <c r="T27" s="364"/>
      <c r="U27" s="365"/>
      <c r="V27" s="350"/>
      <c r="W27" s="209"/>
      <c r="Z27" s="34"/>
    </row>
    <row r="28" spans="1:27" ht="51.95" customHeight="1">
      <c r="A28" s="33">
        <v>22</v>
      </c>
      <c r="B28" s="27" t="s">
        <v>101</v>
      </c>
      <c r="C28" s="40">
        <v>1</v>
      </c>
      <c r="D28" s="40">
        <v>1</v>
      </c>
      <c r="E28" s="40"/>
      <c r="F28" s="40">
        <v>22</v>
      </c>
      <c r="G28" s="27" t="s">
        <v>55</v>
      </c>
      <c r="H28" s="71">
        <v>6</v>
      </c>
      <c r="I28" s="71">
        <v>6</v>
      </c>
      <c r="J28" s="71"/>
      <c r="K28" s="71"/>
      <c r="L28" s="168" t="s">
        <v>104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70"/>
      <c r="W28" s="32"/>
      <c r="Z28" s="1"/>
    </row>
    <row r="29" spans="1:27" ht="51.95" customHeight="1">
      <c r="A29" s="33">
        <v>23</v>
      </c>
      <c r="B29" s="27" t="s">
        <v>44</v>
      </c>
      <c r="C29" s="40">
        <v>2</v>
      </c>
      <c r="D29" s="40">
        <v>2</v>
      </c>
      <c r="E29" s="40"/>
      <c r="F29" s="40">
        <v>23</v>
      </c>
      <c r="G29" s="27" t="s">
        <v>73</v>
      </c>
      <c r="H29" s="71">
        <v>1</v>
      </c>
      <c r="I29" s="71">
        <v>1</v>
      </c>
      <c r="J29" s="71"/>
      <c r="K29" s="71"/>
      <c r="L29" s="40">
        <v>1</v>
      </c>
      <c r="M29" s="171" t="s">
        <v>120</v>
      </c>
      <c r="N29" s="172"/>
      <c r="O29" s="172"/>
      <c r="P29" s="172"/>
      <c r="Q29" s="172"/>
      <c r="R29" s="173"/>
      <c r="S29" s="49"/>
      <c r="T29" s="50"/>
      <c r="U29" s="51"/>
      <c r="V29" s="54"/>
      <c r="W29" s="178"/>
      <c r="Z29" s="1"/>
    </row>
    <row r="30" spans="1:27" ht="51.95" customHeight="1">
      <c r="A30" s="33">
        <v>24</v>
      </c>
      <c r="B30" s="27" t="s">
        <v>103</v>
      </c>
      <c r="C30" s="40">
        <v>1</v>
      </c>
      <c r="D30" s="40"/>
      <c r="E30" s="40">
        <v>1</v>
      </c>
      <c r="F30" s="40">
        <v>24</v>
      </c>
      <c r="G30" s="27" t="s">
        <v>97</v>
      </c>
      <c r="H30" s="71">
        <v>2</v>
      </c>
      <c r="I30" s="71"/>
      <c r="J30" s="71"/>
      <c r="K30" s="71"/>
      <c r="L30" s="152">
        <v>2</v>
      </c>
      <c r="M30" s="180" t="s">
        <v>119</v>
      </c>
      <c r="N30" s="181"/>
      <c r="O30" s="181"/>
      <c r="P30" s="181"/>
      <c r="Q30" s="181"/>
      <c r="R30" s="182"/>
      <c r="S30" s="160"/>
      <c r="T30" s="162"/>
      <c r="U30" s="163"/>
      <c r="V30" s="166"/>
      <c r="W30" s="179"/>
      <c r="Z30" s="1"/>
    </row>
    <row r="31" spans="1:27" ht="51.95" customHeight="1">
      <c r="A31" s="33">
        <v>25</v>
      </c>
      <c r="B31" s="27" t="s">
        <v>60</v>
      </c>
      <c r="C31" s="40">
        <v>3</v>
      </c>
      <c r="D31" s="40">
        <v>2</v>
      </c>
      <c r="E31" s="40">
        <v>1</v>
      </c>
      <c r="F31" s="40"/>
      <c r="G31" s="27"/>
      <c r="H31" s="27"/>
      <c r="I31" s="27"/>
      <c r="J31" s="27"/>
      <c r="K31" s="27"/>
      <c r="L31" s="153"/>
      <c r="M31" s="183"/>
      <c r="N31" s="184"/>
      <c r="O31" s="184"/>
      <c r="P31" s="184"/>
      <c r="Q31" s="184"/>
      <c r="R31" s="185"/>
      <c r="S31" s="161"/>
      <c r="T31" s="164"/>
      <c r="U31" s="165"/>
      <c r="V31" s="167"/>
      <c r="W31" s="179"/>
      <c r="Z31" s="1"/>
    </row>
    <row r="32" spans="1:27" ht="51.95" customHeight="1">
      <c r="A32" s="33">
        <v>26</v>
      </c>
      <c r="B32" s="27" t="s">
        <v>65</v>
      </c>
      <c r="C32" s="40">
        <v>3</v>
      </c>
      <c r="D32" s="40">
        <v>1</v>
      </c>
      <c r="E32" s="40">
        <v>2</v>
      </c>
      <c r="F32" s="40"/>
      <c r="G32" s="27"/>
      <c r="H32" s="27"/>
      <c r="I32" s="27"/>
      <c r="J32" s="27"/>
      <c r="K32" s="27"/>
      <c r="L32" s="186">
        <v>3</v>
      </c>
      <c r="M32" s="180" t="s">
        <v>128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33">
        <v>27</v>
      </c>
      <c r="B33" s="27" t="s">
        <v>62</v>
      </c>
      <c r="C33" s="40">
        <v>9</v>
      </c>
      <c r="D33" s="40">
        <v>6</v>
      </c>
      <c r="E33" s="40">
        <v>3</v>
      </c>
      <c r="F33" s="40"/>
      <c r="G33" s="27"/>
      <c r="H33" s="27"/>
      <c r="I33" s="27"/>
      <c r="J33" s="27"/>
      <c r="K33" s="27"/>
      <c r="L33" s="186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33">
        <v>28</v>
      </c>
      <c r="B34" s="27" t="s">
        <v>36</v>
      </c>
      <c r="C34" s="40">
        <v>1</v>
      </c>
      <c r="D34" s="40"/>
      <c r="E34" s="40">
        <v>1</v>
      </c>
      <c r="F34" s="40"/>
      <c r="G34" s="27"/>
      <c r="H34" s="27"/>
      <c r="I34" s="27"/>
      <c r="J34" s="27"/>
      <c r="K34" s="27"/>
      <c r="L34" s="152">
        <v>4</v>
      </c>
      <c r="M34" s="384" t="s">
        <v>155</v>
      </c>
      <c r="N34" s="385"/>
      <c r="O34" s="385"/>
      <c r="P34" s="385"/>
      <c r="Q34" s="385"/>
      <c r="R34" s="386"/>
      <c r="S34" s="160"/>
      <c r="T34" s="162"/>
      <c r="U34" s="163"/>
      <c r="V34" s="166"/>
      <c r="W34" s="16"/>
      <c r="Z34" s="1"/>
    </row>
    <row r="35" spans="1:27" ht="51.95" customHeight="1">
      <c r="A35" s="33">
        <v>29</v>
      </c>
      <c r="B35" s="27" t="s">
        <v>93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3"/>
      <c r="M35" s="387"/>
      <c r="N35" s="388"/>
      <c r="O35" s="388"/>
      <c r="P35" s="388"/>
      <c r="Q35" s="388"/>
      <c r="R35" s="389"/>
      <c r="S35" s="161"/>
      <c r="T35" s="164"/>
      <c r="U35" s="165"/>
      <c r="V35" s="167"/>
      <c r="W35" s="16"/>
      <c r="Z35" s="1"/>
    </row>
    <row r="36" spans="1:27" ht="51.95" customHeight="1">
      <c r="A36" s="33">
        <v>30</v>
      </c>
      <c r="B36" s="27" t="s">
        <v>46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27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  <c r="Z36" s="1"/>
    </row>
    <row r="37" spans="1:27" ht="51.95" customHeight="1">
      <c r="A37" s="33">
        <v>31</v>
      </c>
      <c r="B37" s="27" t="s">
        <v>95</v>
      </c>
      <c r="C37" s="40">
        <v>8</v>
      </c>
      <c r="D37" s="40"/>
      <c r="E37" s="40">
        <v>8</v>
      </c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33">
        <v>32</v>
      </c>
      <c r="B38" s="70" t="s">
        <v>118</v>
      </c>
      <c r="C38" s="64">
        <v>4</v>
      </c>
      <c r="D38" s="64">
        <v>4</v>
      </c>
      <c r="E38" s="64"/>
      <c r="F38" s="64"/>
      <c r="G38" s="70"/>
      <c r="H38" s="70"/>
      <c r="I38" s="70"/>
      <c r="J38" s="70"/>
      <c r="K38" s="7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93</v>
      </c>
      <c r="D39" s="61">
        <f>SUM(D7:D38)</f>
        <v>53</v>
      </c>
      <c r="E39" s="61">
        <f>SUM(E7:E38)</f>
        <v>39</v>
      </c>
      <c r="F39" s="151" t="s">
        <v>9</v>
      </c>
      <c r="G39" s="151"/>
      <c r="H39" s="75">
        <f>SUM(H7:H37)</f>
        <v>73</v>
      </c>
      <c r="I39" s="60">
        <f>SUM(I7:I37)</f>
        <v>60</v>
      </c>
      <c r="J39" s="75">
        <f>SUM(J7:J37)</f>
        <v>9</v>
      </c>
      <c r="K39" s="75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05" customHeight="1">
      <c r="A42" s="13">
        <v>1</v>
      </c>
      <c r="B42" s="74" t="s">
        <v>135</v>
      </c>
      <c r="C42" s="134"/>
      <c r="D42" s="135"/>
      <c r="E42" s="109">
        <v>96</v>
      </c>
      <c r="F42" s="111"/>
      <c r="G42" s="110"/>
      <c r="H42" s="134">
        <v>0.7</v>
      </c>
      <c r="I42" s="136"/>
      <c r="J42" s="135"/>
      <c r="K42" s="134">
        <v>96.2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77">
        <f>K42+H42</f>
        <v>96.9</v>
      </c>
      <c r="Y42" s="8"/>
    </row>
    <row r="43" spans="1:27" ht="110.25" customHeight="1">
      <c r="A43" s="13">
        <v>2</v>
      </c>
      <c r="B43" s="74" t="s">
        <v>136</v>
      </c>
      <c r="C43" s="117"/>
      <c r="D43" s="118"/>
      <c r="E43" s="109">
        <v>2527</v>
      </c>
      <c r="F43" s="111"/>
      <c r="G43" s="110"/>
      <c r="H43" s="134">
        <v>2</v>
      </c>
      <c r="I43" s="136"/>
      <c r="J43" s="135"/>
      <c r="K43" s="134">
        <v>673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78">
        <f t="shared" ref="W43:W50" si="2">K43+H43</f>
        <v>675</v>
      </c>
      <c r="X43" s="2"/>
      <c r="Y43" s="7"/>
      <c r="Z43" s="7"/>
      <c r="AA43" s="9"/>
    </row>
    <row r="44" spans="1:27" ht="90.75" customHeight="1">
      <c r="A44" s="13">
        <v>3</v>
      </c>
      <c r="B44" s="74" t="s">
        <v>80</v>
      </c>
      <c r="C44" s="122"/>
      <c r="D44" s="123"/>
      <c r="E44" s="109">
        <v>118000</v>
      </c>
      <c r="F44" s="111"/>
      <c r="G44" s="110"/>
      <c r="H44" s="109">
        <v>1250</v>
      </c>
      <c r="I44" s="111"/>
      <c r="J44" s="110"/>
      <c r="K44" s="109">
        <v>114586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115836</v>
      </c>
      <c r="X44" s="2"/>
      <c r="Y44" s="7"/>
      <c r="Z44" s="7"/>
      <c r="AA44" s="9"/>
    </row>
    <row r="45" spans="1:27" ht="65.099999999999994" customHeight="1">
      <c r="A45" s="13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/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13">
        <v>5</v>
      </c>
      <c r="B46" s="74" t="s">
        <v>114</v>
      </c>
      <c r="C46" s="122"/>
      <c r="D46" s="123"/>
      <c r="E46" s="109">
        <v>1162</v>
      </c>
      <c r="F46" s="111"/>
      <c r="G46" s="110"/>
      <c r="H46" s="109"/>
      <c r="I46" s="111"/>
      <c r="J46" s="110"/>
      <c r="K46" s="109">
        <v>1162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1162</v>
      </c>
      <c r="X46" s="2"/>
      <c r="Y46" s="7"/>
      <c r="Z46" s="7"/>
      <c r="AA46" s="9"/>
    </row>
    <row r="47" spans="1:27" ht="65.099999999999994" customHeight="1">
      <c r="A47" s="13">
        <v>6</v>
      </c>
      <c r="B47" s="74" t="s">
        <v>115</v>
      </c>
      <c r="C47" s="122">
        <v>88</v>
      </c>
      <c r="D47" s="123"/>
      <c r="E47" s="109">
        <v>6791</v>
      </c>
      <c r="F47" s="111"/>
      <c r="G47" s="110"/>
      <c r="H47" s="109">
        <v>88</v>
      </c>
      <c r="I47" s="111"/>
      <c r="J47" s="110"/>
      <c r="K47" s="109">
        <v>6791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6879</v>
      </c>
      <c r="X47" s="2"/>
      <c r="Y47" s="7"/>
      <c r="Z47" s="7"/>
      <c r="AA47" s="9"/>
    </row>
    <row r="48" spans="1:27" ht="65.099999999999994" customHeight="1">
      <c r="A48" s="13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/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13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/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13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/>
      <c r="I50" s="111"/>
      <c r="J50" s="110"/>
      <c r="K50" s="109">
        <v>200</v>
      </c>
      <c r="L50" s="111"/>
      <c r="M50" s="111"/>
      <c r="N50" s="110"/>
      <c r="O50" s="112"/>
      <c r="P50" s="112"/>
      <c r="Q50" s="112"/>
      <c r="R50" s="112"/>
      <c r="S50" s="112"/>
      <c r="T50" s="112"/>
      <c r="U50" s="112"/>
      <c r="V50" s="113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42.7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4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5" t="s">
        <v>67</v>
      </c>
      <c r="P54" s="105"/>
      <c r="Q54" s="105"/>
      <c r="R54" s="105"/>
      <c r="S54" s="105"/>
      <c r="T54" s="105"/>
      <c r="U54" s="105"/>
      <c r="V54" s="106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5"/>
      <c r="P55" s="105"/>
      <c r="Q55" s="105"/>
      <c r="R55" s="105"/>
      <c r="S55" s="105"/>
      <c r="T55" s="105"/>
      <c r="U55" s="105"/>
      <c r="V55" s="106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/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7"/>
      <c r="P58" s="107"/>
      <c r="Q58" s="107"/>
      <c r="R58" s="107"/>
      <c r="S58" s="107"/>
      <c r="T58" s="107"/>
      <c r="U58" s="107"/>
      <c r="V58" s="108"/>
    </row>
    <row r="61" spans="1:27">
      <c r="S61" s="28"/>
      <c r="T61" s="28"/>
      <c r="U61" s="28"/>
    </row>
    <row r="62" spans="1:27">
      <c r="G62" s="12" t="s">
        <v>58</v>
      </c>
      <c r="H62" s="24">
        <v>1</v>
      </c>
      <c r="I62" s="24"/>
      <c r="J62" s="24">
        <v>1</v>
      </c>
      <c r="S62" s="28"/>
      <c r="T62" s="28">
        <v>17</v>
      </c>
      <c r="U62" s="29"/>
    </row>
    <row r="63" spans="1:27">
      <c r="G63" s="12" t="s">
        <v>103</v>
      </c>
      <c r="H63" s="24">
        <v>1</v>
      </c>
      <c r="I63" s="24">
        <v>1</v>
      </c>
      <c r="J63" s="24"/>
      <c r="S63" s="28"/>
      <c r="T63" s="28">
        <v>17</v>
      </c>
      <c r="U63" s="30"/>
    </row>
    <row r="64" spans="1:27">
      <c r="G64" s="12" t="s">
        <v>44</v>
      </c>
      <c r="H64" s="24">
        <v>2</v>
      </c>
      <c r="I64" s="24">
        <v>2</v>
      </c>
      <c r="J64" s="24"/>
      <c r="S64" s="28"/>
      <c r="T64" s="28">
        <v>17</v>
      </c>
      <c r="U64" s="28"/>
    </row>
    <row r="65" spans="1:31">
      <c r="G65" s="12" t="s">
        <v>8</v>
      </c>
      <c r="H65" s="24">
        <v>8</v>
      </c>
      <c r="I65" s="24">
        <v>8</v>
      </c>
      <c r="J65" s="24"/>
      <c r="T65" s="3">
        <v>17</v>
      </c>
    </row>
    <row r="66" spans="1:31">
      <c r="G66" s="12" t="s">
        <v>101</v>
      </c>
      <c r="H66" s="24">
        <v>1</v>
      </c>
      <c r="I66" s="24">
        <v>1</v>
      </c>
      <c r="J66" s="24"/>
      <c r="T66" s="3">
        <v>19</v>
      </c>
    </row>
    <row r="67" spans="1:31">
      <c r="G67" s="12" t="s">
        <v>63</v>
      </c>
      <c r="H67" s="24">
        <v>8</v>
      </c>
      <c r="I67" s="24">
        <v>7</v>
      </c>
      <c r="J67" s="24">
        <v>1</v>
      </c>
      <c r="T67" s="3">
        <v>20</v>
      </c>
    </row>
    <row r="68" spans="1:31">
      <c r="G68" s="12" t="s">
        <v>17</v>
      </c>
      <c r="H68" s="24">
        <v>7</v>
      </c>
      <c r="I68" s="24">
        <v>6</v>
      </c>
      <c r="J68" s="24">
        <v>1</v>
      </c>
      <c r="T68" s="3">
        <v>21</v>
      </c>
    </row>
    <row r="69" spans="1:31">
      <c r="G69" s="12" t="s">
        <v>65</v>
      </c>
      <c r="H69" s="24">
        <v>2</v>
      </c>
      <c r="I69" s="24">
        <v>2</v>
      </c>
      <c r="J69" s="24"/>
      <c r="T69" s="3">
        <v>18</v>
      </c>
    </row>
    <row r="70" spans="1:31">
      <c r="G70" s="12" t="s">
        <v>62</v>
      </c>
      <c r="H70" s="24">
        <v>7</v>
      </c>
      <c r="I70" s="24">
        <v>6</v>
      </c>
      <c r="J70" s="24">
        <v>1</v>
      </c>
      <c r="T70" s="3">
        <v>18.600000000000001</v>
      </c>
    </row>
    <row r="71" spans="1:31" s="3" customFormat="1">
      <c r="A71"/>
      <c r="B71" s="15"/>
      <c r="G71" s="12" t="s">
        <v>36</v>
      </c>
      <c r="H71" s="24">
        <f>J72+I71</f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43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45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93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46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60</v>
      </c>
      <c r="H76" s="24">
        <v>4</v>
      </c>
      <c r="I76" s="24">
        <v>4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48</v>
      </c>
      <c r="H77" s="24">
        <v>1</v>
      </c>
      <c r="I77" s="24"/>
      <c r="J77" s="24">
        <v>1</v>
      </c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95</v>
      </c>
      <c r="H78" s="24">
        <v>6</v>
      </c>
      <c r="I78" s="24">
        <v>6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47"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V17:V18"/>
    <mergeCell ref="L19:L21"/>
    <mergeCell ref="M19:R21"/>
    <mergeCell ref="S19:S21"/>
    <mergeCell ref="T19:U21"/>
    <mergeCell ref="V19:V21"/>
    <mergeCell ref="M16:R16"/>
    <mergeCell ref="T16:U16"/>
    <mergeCell ref="L17:L18"/>
    <mergeCell ref="M17:R18"/>
    <mergeCell ref="S17:S18"/>
    <mergeCell ref="T17:U18"/>
    <mergeCell ref="W29:W33"/>
    <mergeCell ref="L30:L31"/>
    <mergeCell ref="M30:R31"/>
    <mergeCell ref="S30:S31"/>
    <mergeCell ref="T30:U31"/>
    <mergeCell ref="V30:V31"/>
    <mergeCell ref="L32:L33"/>
    <mergeCell ref="M32:R33"/>
    <mergeCell ref="L22:L27"/>
    <mergeCell ref="M22:R27"/>
    <mergeCell ref="S22:S27"/>
    <mergeCell ref="T22:U27"/>
    <mergeCell ref="V22:V27"/>
    <mergeCell ref="W25:W27"/>
    <mergeCell ref="S32:S33"/>
    <mergeCell ref="T32:U33"/>
    <mergeCell ref="V32:V33"/>
    <mergeCell ref="L34:L35"/>
    <mergeCell ref="M34:R35"/>
    <mergeCell ref="S34:S35"/>
    <mergeCell ref="T34:U35"/>
    <mergeCell ref="V34:V35"/>
    <mergeCell ref="L28:V28"/>
    <mergeCell ref="M29:R29"/>
    <mergeCell ref="A40:N40"/>
    <mergeCell ref="O40:V40"/>
    <mergeCell ref="C41:D41"/>
    <mergeCell ref="E41:G41"/>
    <mergeCell ref="H41:J41"/>
    <mergeCell ref="K41:N41"/>
    <mergeCell ref="O41:R41"/>
    <mergeCell ref="M36:R36"/>
    <mergeCell ref="M37:R37"/>
    <mergeCell ref="M38:R38"/>
    <mergeCell ref="A39:B39"/>
    <mergeCell ref="F39:G39"/>
    <mergeCell ref="M39:R39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A52:V52"/>
    <mergeCell ref="A53:N53"/>
    <mergeCell ref="O53:V53"/>
    <mergeCell ref="A54:N58"/>
    <mergeCell ref="O54:V58"/>
    <mergeCell ref="C50:D50"/>
    <mergeCell ref="E50:G50"/>
    <mergeCell ref="H50:J50"/>
    <mergeCell ref="K50:N50"/>
    <mergeCell ref="O50:V50"/>
    <mergeCell ref="A51:V51"/>
  </mergeCells>
  <printOptions horizontalCentered="1" verticalCentered="1"/>
  <pageMargins left="0.15" right="0.15" top="0.5" bottom="0.8" header="0" footer="0"/>
  <pageSetup paperSize="9" scale="2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A52C-BE39-48CF-BFCC-61779C1E94EE}">
  <sheetPr>
    <pageSetUpPr fitToPage="1"/>
  </sheetPr>
  <dimension ref="A1:AH111"/>
  <sheetViews>
    <sheetView rightToLeft="1" view="pageBreakPreview" topLeftCell="A19" zoomScale="40" zoomScaleNormal="110" zoomScaleSheetLayoutView="40" workbookViewId="0">
      <selection activeCell="K27" sqref="K27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9.140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16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157</v>
      </c>
      <c r="S1" s="297"/>
      <c r="T1" s="300" t="s">
        <v>156</v>
      </c>
      <c r="U1" s="300"/>
      <c r="V1" s="302" t="s">
        <v>158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303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303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148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273" t="s">
        <v>2</v>
      </c>
      <c r="M7" s="274" t="s">
        <v>28</v>
      </c>
      <c r="N7" s="275"/>
      <c r="O7" s="275"/>
      <c r="P7" s="275"/>
      <c r="Q7" s="275"/>
      <c r="R7" s="275"/>
      <c r="S7" s="278" t="s">
        <v>26</v>
      </c>
      <c r="T7" s="280" t="s">
        <v>27</v>
      </c>
      <c r="U7" s="280"/>
      <c r="V7" s="278" t="s">
        <v>82</v>
      </c>
      <c r="W7" s="19"/>
    </row>
    <row r="8" spans="1:34" ht="51.9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273"/>
      <c r="M8" s="276"/>
      <c r="N8" s="277"/>
      <c r="O8" s="277"/>
      <c r="P8" s="277"/>
      <c r="Q8" s="277"/>
      <c r="R8" s="277"/>
      <c r="S8" s="279"/>
      <c r="T8" s="281"/>
      <c r="U8" s="281"/>
      <c r="V8" s="279"/>
      <c r="W8" s="19"/>
      <c r="AA8" s="6"/>
      <c r="AB8" s="6"/>
      <c r="AC8" s="6"/>
      <c r="AD8" s="6"/>
      <c r="AE8" s="6"/>
    </row>
    <row r="9" spans="1:34" ht="51.9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/>
      <c r="J9" s="71">
        <v>1</v>
      </c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251" t="s">
        <v>57</v>
      </c>
      <c r="T9" s="348">
        <v>0</v>
      </c>
      <c r="U9" s="348"/>
      <c r="V9" s="349">
        <v>492480</v>
      </c>
      <c r="X9" s="5"/>
      <c r="Y9" s="5">
        <v>3000</v>
      </c>
      <c r="Z9" s="5"/>
    </row>
    <row r="10" spans="1:34" ht="51.9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/>
      <c r="J10" s="71">
        <v>1</v>
      </c>
      <c r="K10" s="71"/>
      <c r="L10" s="186"/>
      <c r="M10" s="250"/>
      <c r="N10" s="250"/>
      <c r="O10" s="250"/>
      <c r="P10" s="250"/>
      <c r="Q10" s="250"/>
      <c r="R10" s="250"/>
      <c r="S10" s="251"/>
      <c r="T10" s="348"/>
      <c r="U10" s="348"/>
      <c r="V10" s="350"/>
      <c r="W10" s="19"/>
      <c r="AA10" s="6"/>
      <c r="AB10" s="6"/>
      <c r="AC10" s="6"/>
      <c r="AD10" s="6"/>
      <c r="AE10" s="6"/>
    </row>
    <row r="11" spans="1:34" ht="60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2</v>
      </c>
      <c r="J11" s="71">
        <v>4</v>
      </c>
      <c r="K11" s="71"/>
      <c r="L11" s="186">
        <v>2</v>
      </c>
      <c r="M11" s="390" t="s">
        <v>160</v>
      </c>
      <c r="N11" s="391"/>
      <c r="O11" s="391"/>
      <c r="P11" s="391"/>
      <c r="Q11" s="391"/>
      <c r="R11" s="392"/>
      <c r="S11" s="243" t="s">
        <v>57</v>
      </c>
      <c r="T11" s="360">
        <v>1380</v>
      </c>
      <c r="U11" s="361"/>
      <c r="V11" s="349">
        <v>186495</v>
      </c>
      <c r="W11" s="236">
        <f>V11+T11</f>
        <v>187875</v>
      </c>
      <c r="AA11" s="6"/>
      <c r="AB11" s="6"/>
      <c r="AC11" s="6"/>
      <c r="AD11" s="6"/>
      <c r="AE11" s="6"/>
    </row>
    <row r="12" spans="1:34" ht="60" customHeight="1">
      <c r="A12" s="33">
        <v>6</v>
      </c>
      <c r="B12" s="69" t="s">
        <v>39</v>
      </c>
      <c r="C12" s="40">
        <v>1</v>
      </c>
      <c r="D12" s="40"/>
      <c r="E12" s="40">
        <v>1</v>
      </c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393"/>
      <c r="N12" s="394"/>
      <c r="O12" s="394"/>
      <c r="P12" s="394"/>
      <c r="Q12" s="394"/>
      <c r="R12" s="395"/>
      <c r="S12" s="262"/>
      <c r="T12" s="362"/>
      <c r="U12" s="363"/>
      <c r="V12" s="36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33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72">
        <v>1</v>
      </c>
      <c r="I13" s="72">
        <v>1</v>
      </c>
      <c r="J13" s="72"/>
      <c r="K13" s="71"/>
      <c r="L13" s="186"/>
      <c r="M13" s="393"/>
      <c r="N13" s="394"/>
      <c r="O13" s="394"/>
      <c r="P13" s="394"/>
      <c r="Q13" s="394"/>
      <c r="R13" s="395"/>
      <c r="S13" s="262"/>
      <c r="T13" s="362"/>
      <c r="U13" s="363"/>
      <c r="V13" s="36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60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1</v>
      </c>
      <c r="J14" s="71"/>
      <c r="K14" s="71">
        <v>1</v>
      </c>
      <c r="L14" s="186"/>
      <c r="M14" s="396"/>
      <c r="N14" s="397"/>
      <c r="O14" s="397"/>
      <c r="P14" s="397"/>
      <c r="Q14" s="397"/>
      <c r="R14" s="398"/>
      <c r="S14" s="244"/>
      <c r="T14" s="364"/>
      <c r="U14" s="365"/>
      <c r="V14" s="350"/>
      <c r="W14" s="236"/>
    </row>
    <row r="15" spans="1:34" ht="51.95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79">
        <v>51330</v>
      </c>
      <c r="W15" s="39">
        <f>V15+T15</f>
        <v>51330</v>
      </c>
    </row>
    <row r="16" spans="1:34" ht="51.95" customHeight="1">
      <c r="A16" s="33">
        <v>10</v>
      </c>
      <c r="B16" s="67" t="s">
        <v>113</v>
      </c>
      <c r="C16" s="40">
        <v>1</v>
      </c>
      <c r="D16" s="40">
        <v>1</v>
      </c>
      <c r="E16" s="40"/>
      <c r="F16" s="40">
        <v>10</v>
      </c>
      <c r="G16" s="24" t="s">
        <v>70</v>
      </c>
      <c r="H16" s="71">
        <v>3</v>
      </c>
      <c r="I16" s="71">
        <v>2</v>
      </c>
      <c r="J16" s="71">
        <v>1</v>
      </c>
      <c r="K16" s="71"/>
      <c r="L16" s="40">
        <v>4</v>
      </c>
      <c r="M16" s="140" t="s">
        <v>116</v>
      </c>
      <c r="N16" s="141"/>
      <c r="O16" s="141"/>
      <c r="P16" s="141"/>
      <c r="Q16" s="141"/>
      <c r="R16" s="142"/>
      <c r="S16" s="35" t="s">
        <v>85</v>
      </c>
      <c r="T16" s="373">
        <v>0</v>
      </c>
      <c r="U16" s="374"/>
      <c r="V16" s="79">
        <v>43476</v>
      </c>
      <c r="W16" s="47">
        <f>V16+T16</f>
        <v>43476</v>
      </c>
    </row>
    <row r="17" spans="1:27" ht="51.95" customHeight="1">
      <c r="A17" s="33">
        <v>11</v>
      </c>
      <c r="B17" s="27" t="s">
        <v>21</v>
      </c>
      <c r="C17" s="40">
        <v>2</v>
      </c>
      <c r="D17" s="40">
        <v>2</v>
      </c>
      <c r="E17" s="40"/>
      <c r="F17" s="40">
        <v>11</v>
      </c>
      <c r="G17" s="27" t="s">
        <v>102</v>
      </c>
      <c r="H17" s="71">
        <v>2</v>
      </c>
      <c r="I17" s="71">
        <v>2</v>
      </c>
      <c r="J17" s="71"/>
      <c r="K17" s="71"/>
      <c r="L17" s="186">
        <v>5</v>
      </c>
      <c r="M17" s="230" t="s">
        <v>161</v>
      </c>
      <c r="N17" s="231"/>
      <c r="O17" s="231"/>
      <c r="P17" s="231"/>
      <c r="Q17" s="231"/>
      <c r="R17" s="232"/>
      <c r="S17" s="160" t="s">
        <v>85</v>
      </c>
      <c r="T17" s="367">
        <v>0</v>
      </c>
      <c r="U17" s="368"/>
      <c r="V17" s="349">
        <v>91806</v>
      </c>
      <c r="W17" s="47">
        <f>V17+T17</f>
        <v>91806</v>
      </c>
      <c r="X17">
        <v>1</v>
      </c>
      <c r="Z17" s="1"/>
    </row>
    <row r="18" spans="1:27" ht="51.95" customHeight="1">
      <c r="A18" s="33">
        <v>12</v>
      </c>
      <c r="B18" s="27" t="s">
        <v>105</v>
      </c>
      <c r="C18" s="40">
        <v>1</v>
      </c>
      <c r="D18" s="40"/>
      <c r="E18" s="40">
        <v>1</v>
      </c>
      <c r="F18" s="40">
        <v>12</v>
      </c>
      <c r="G18" s="27" t="s">
        <v>78</v>
      </c>
      <c r="H18" s="71">
        <v>5</v>
      </c>
      <c r="I18" s="71">
        <v>4</v>
      </c>
      <c r="J18" s="71">
        <v>1</v>
      </c>
      <c r="K18" s="71"/>
      <c r="L18" s="186"/>
      <c r="M18" s="233"/>
      <c r="N18" s="234"/>
      <c r="O18" s="234"/>
      <c r="P18" s="234"/>
      <c r="Q18" s="234"/>
      <c r="R18" s="235"/>
      <c r="S18" s="161"/>
      <c r="T18" s="371"/>
      <c r="U18" s="372"/>
      <c r="V18" s="350"/>
      <c r="W18" s="32"/>
      <c r="Z18" s="1"/>
    </row>
    <row r="19" spans="1:27" ht="51.95" customHeight="1">
      <c r="A19" s="33">
        <v>13</v>
      </c>
      <c r="B19" s="27" t="s">
        <v>117</v>
      </c>
      <c r="C19" s="40">
        <v>1</v>
      </c>
      <c r="D19" s="40"/>
      <c r="E19" s="40">
        <v>1</v>
      </c>
      <c r="F19" s="40">
        <v>13</v>
      </c>
      <c r="G19" s="27" t="s">
        <v>19</v>
      </c>
      <c r="H19" s="71">
        <v>2</v>
      </c>
      <c r="I19" s="71">
        <v>2</v>
      </c>
      <c r="J19" s="71"/>
      <c r="K19" s="71"/>
      <c r="L19" s="152">
        <v>6</v>
      </c>
      <c r="M19" s="212" t="s">
        <v>159</v>
      </c>
      <c r="N19" s="213"/>
      <c r="O19" s="213"/>
      <c r="P19" s="213"/>
      <c r="Q19" s="213"/>
      <c r="R19" s="214"/>
      <c r="S19" s="160" t="s">
        <v>85</v>
      </c>
      <c r="T19" s="367">
        <v>0</v>
      </c>
      <c r="U19" s="368"/>
      <c r="V19" s="349">
        <v>40481</v>
      </c>
      <c r="W19" s="32"/>
      <c r="Z19" s="1"/>
    </row>
    <row r="20" spans="1:27" ht="51.95" customHeight="1">
      <c r="A20" s="33">
        <v>14</v>
      </c>
      <c r="B20" s="31" t="s">
        <v>37</v>
      </c>
      <c r="C20" s="40">
        <v>1</v>
      </c>
      <c r="D20" s="40"/>
      <c r="E20" s="40">
        <v>1</v>
      </c>
      <c r="F20" s="40">
        <v>14</v>
      </c>
      <c r="G20" s="27" t="s">
        <v>59</v>
      </c>
      <c r="H20" s="71">
        <v>1</v>
      </c>
      <c r="I20" s="71"/>
      <c r="J20" s="71">
        <v>1</v>
      </c>
      <c r="K20" s="71"/>
      <c r="L20" s="187"/>
      <c r="M20" s="215"/>
      <c r="N20" s="216"/>
      <c r="O20" s="216"/>
      <c r="P20" s="216"/>
      <c r="Q20" s="216"/>
      <c r="R20" s="217"/>
      <c r="S20" s="221"/>
      <c r="T20" s="369"/>
      <c r="U20" s="370"/>
      <c r="V20" s="366"/>
      <c r="W20" s="47">
        <f>V19+T19</f>
        <v>40481</v>
      </c>
      <c r="Z20" s="1"/>
    </row>
    <row r="21" spans="1:27" ht="51.95" customHeight="1">
      <c r="A21" s="33">
        <v>15</v>
      </c>
      <c r="B21" s="14" t="s">
        <v>94</v>
      </c>
      <c r="C21" s="40">
        <v>1</v>
      </c>
      <c r="D21" s="40">
        <v>1</v>
      </c>
      <c r="E21" s="40"/>
      <c r="F21" s="40">
        <v>15</v>
      </c>
      <c r="G21" s="27" t="s">
        <v>92</v>
      </c>
      <c r="H21" s="71">
        <v>1</v>
      </c>
      <c r="I21" s="71">
        <v>1</v>
      </c>
      <c r="J21" s="73"/>
      <c r="K21" s="71"/>
      <c r="L21" s="187"/>
      <c r="M21" s="218"/>
      <c r="N21" s="219"/>
      <c r="O21" s="219"/>
      <c r="P21" s="219"/>
      <c r="Q21" s="219"/>
      <c r="R21" s="220"/>
      <c r="S21" s="161"/>
      <c r="T21" s="371"/>
      <c r="U21" s="372"/>
      <c r="V21" s="350"/>
      <c r="W21" s="32"/>
      <c r="Z21" s="1"/>
    </row>
    <row r="22" spans="1:27" ht="51.95" customHeight="1">
      <c r="A22" s="33">
        <v>16</v>
      </c>
      <c r="B22" s="27" t="s">
        <v>8</v>
      </c>
      <c r="C22" s="59">
        <v>12</v>
      </c>
      <c r="D22" s="40">
        <v>4</v>
      </c>
      <c r="E22" s="40">
        <v>8</v>
      </c>
      <c r="F22" s="40">
        <v>16</v>
      </c>
      <c r="G22" s="27" t="s">
        <v>7</v>
      </c>
      <c r="H22" s="71">
        <v>3</v>
      </c>
      <c r="I22" s="71">
        <v>3</v>
      </c>
      <c r="J22" s="71"/>
      <c r="K22" s="71"/>
      <c r="L22" s="152">
        <v>7</v>
      </c>
      <c r="M22" s="375" t="s">
        <v>150</v>
      </c>
      <c r="N22" s="376"/>
      <c r="O22" s="376"/>
      <c r="P22" s="376"/>
      <c r="Q22" s="376"/>
      <c r="R22" s="377"/>
      <c r="S22" s="197" t="s">
        <v>85</v>
      </c>
      <c r="T22" s="360">
        <v>0</v>
      </c>
      <c r="U22" s="361"/>
      <c r="V22" s="349">
        <v>30524</v>
      </c>
      <c r="Z22" s="1"/>
    </row>
    <row r="23" spans="1:27" ht="51.95" customHeight="1">
      <c r="A23" s="33">
        <v>17</v>
      </c>
      <c r="B23" s="27" t="s">
        <v>63</v>
      </c>
      <c r="C23" s="59">
        <v>14</v>
      </c>
      <c r="D23" s="40">
        <v>7</v>
      </c>
      <c r="E23" s="40">
        <v>7</v>
      </c>
      <c r="F23" s="40">
        <v>17</v>
      </c>
      <c r="G23" s="27" t="s">
        <v>14</v>
      </c>
      <c r="H23" s="71">
        <v>4</v>
      </c>
      <c r="I23" s="71">
        <v>3</v>
      </c>
      <c r="J23" s="71"/>
      <c r="K23" s="71">
        <v>1</v>
      </c>
      <c r="L23" s="187"/>
      <c r="M23" s="378"/>
      <c r="N23" s="379"/>
      <c r="O23" s="379"/>
      <c r="P23" s="379"/>
      <c r="Q23" s="379"/>
      <c r="R23" s="380"/>
      <c r="S23" s="198"/>
      <c r="T23" s="362"/>
      <c r="U23" s="363"/>
      <c r="V23" s="366"/>
      <c r="W23" s="32"/>
      <c r="Z23" s="1"/>
    </row>
    <row r="24" spans="1:27" ht="51.95" customHeight="1">
      <c r="A24" s="33">
        <v>18</v>
      </c>
      <c r="B24" s="27" t="s">
        <v>17</v>
      </c>
      <c r="C24" s="40">
        <v>7</v>
      </c>
      <c r="D24" s="40">
        <v>5</v>
      </c>
      <c r="E24" s="40">
        <v>2</v>
      </c>
      <c r="F24" s="40">
        <v>18</v>
      </c>
      <c r="G24" s="27" t="s">
        <v>15</v>
      </c>
      <c r="H24" s="71">
        <v>1</v>
      </c>
      <c r="I24" s="71">
        <v>1</v>
      </c>
      <c r="J24" s="71"/>
      <c r="K24" s="71"/>
      <c r="L24" s="187"/>
      <c r="M24" s="378"/>
      <c r="N24" s="379"/>
      <c r="O24" s="379"/>
      <c r="P24" s="379"/>
      <c r="Q24" s="379"/>
      <c r="R24" s="380"/>
      <c r="S24" s="198"/>
      <c r="T24" s="362"/>
      <c r="U24" s="363"/>
      <c r="V24" s="366"/>
      <c r="W24" s="32"/>
      <c r="Z24" s="1">
        <v>35734</v>
      </c>
      <c r="AA24">
        <f>Z24/Z25</f>
        <v>0.30193748996611719</v>
      </c>
    </row>
    <row r="25" spans="1:27" s="6" customFormat="1" ht="51.95" customHeight="1">
      <c r="A25" s="33">
        <v>19</v>
      </c>
      <c r="B25" s="27" t="s">
        <v>43</v>
      </c>
      <c r="C25" s="40">
        <v>1</v>
      </c>
      <c r="D25" s="40"/>
      <c r="E25" s="40">
        <v>1</v>
      </c>
      <c r="F25" s="40">
        <v>19</v>
      </c>
      <c r="G25" s="27" t="s">
        <v>40</v>
      </c>
      <c r="H25" s="71">
        <v>2</v>
      </c>
      <c r="I25" s="71">
        <v>2</v>
      </c>
      <c r="J25" s="71"/>
      <c r="K25" s="71"/>
      <c r="L25" s="187"/>
      <c r="M25" s="378"/>
      <c r="N25" s="379"/>
      <c r="O25" s="379"/>
      <c r="P25" s="379"/>
      <c r="Q25" s="379"/>
      <c r="R25" s="380"/>
      <c r="S25" s="198"/>
      <c r="T25" s="362"/>
      <c r="U25" s="363"/>
      <c r="V25" s="366"/>
      <c r="W25" s="209">
        <f>V22+T22</f>
        <v>30524</v>
      </c>
      <c r="Z25" s="34">
        <v>118349</v>
      </c>
    </row>
    <row r="26" spans="1:27" s="6" customFormat="1" ht="51.95" customHeight="1">
      <c r="A26" s="33">
        <v>20</v>
      </c>
      <c r="B26" s="27" t="s">
        <v>45</v>
      </c>
      <c r="C26" s="40">
        <v>2</v>
      </c>
      <c r="D26" s="40">
        <v>1</v>
      </c>
      <c r="E26" s="40">
        <v>1</v>
      </c>
      <c r="F26" s="40">
        <v>20</v>
      </c>
      <c r="G26" s="27" t="s">
        <v>53</v>
      </c>
      <c r="H26" s="71">
        <v>20</v>
      </c>
      <c r="I26" s="71">
        <v>20</v>
      </c>
      <c r="J26" s="71"/>
      <c r="K26" s="71"/>
      <c r="L26" s="187"/>
      <c r="M26" s="378"/>
      <c r="N26" s="379"/>
      <c r="O26" s="379"/>
      <c r="P26" s="379"/>
      <c r="Q26" s="379"/>
      <c r="R26" s="380"/>
      <c r="S26" s="198"/>
      <c r="T26" s="362"/>
      <c r="U26" s="363"/>
      <c r="V26" s="366"/>
      <c r="W26" s="209"/>
      <c r="Z26" s="34"/>
    </row>
    <row r="27" spans="1:27" s="6" customFormat="1" ht="51.95" customHeight="1">
      <c r="A27" s="33">
        <v>21</v>
      </c>
      <c r="B27" s="27" t="s">
        <v>58</v>
      </c>
      <c r="C27" s="40">
        <v>1</v>
      </c>
      <c r="D27" s="40">
        <v>1</v>
      </c>
      <c r="E27" s="40"/>
      <c r="F27" s="40">
        <v>21</v>
      </c>
      <c r="G27" s="27" t="s">
        <v>54</v>
      </c>
      <c r="H27" s="71">
        <v>5</v>
      </c>
      <c r="I27" s="71">
        <v>5</v>
      </c>
      <c r="J27" s="71"/>
      <c r="K27" s="71"/>
      <c r="L27" s="153"/>
      <c r="M27" s="381"/>
      <c r="N27" s="382"/>
      <c r="O27" s="382"/>
      <c r="P27" s="382"/>
      <c r="Q27" s="382"/>
      <c r="R27" s="383"/>
      <c r="S27" s="199"/>
      <c r="T27" s="364"/>
      <c r="U27" s="365"/>
      <c r="V27" s="350"/>
      <c r="W27" s="209"/>
      <c r="Z27" s="34"/>
    </row>
    <row r="28" spans="1:27" ht="51.95" customHeight="1">
      <c r="A28" s="33">
        <v>22</v>
      </c>
      <c r="B28" s="27" t="s">
        <v>101</v>
      </c>
      <c r="C28" s="40">
        <v>1</v>
      </c>
      <c r="D28" s="40">
        <v>1</v>
      </c>
      <c r="E28" s="40"/>
      <c r="F28" s="40">
        <v>22</v>
      </c>
      <c r="G28" s="27" t="s">
        <v>55</v>
      </c>
      <c r="H28" s="71">
        <v>6</v>
      </c>
      <c r="I28" s="71">
        <v>6</v>
      </c>
      <c r="J28" s="71"/>
      <c r="K28" s="71"/>
      <c r="L28" s="168" t="s">
        <v>104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70"/>
      <c r="W28" s="32"/>
      <c r="Z28" s="1"/>
    </row>
    <row r="29" spans="1:27" ht="51.95" customHeight="1">
      <c r="A29" s="33">
        <v>23</v>
      </c>
      <c r="B29" s="27" t="s">
        <v>44</v>
      </c>
      <c r="C29" s="40">
        <v>2</v>
      </c>
      <c r="D29" s="40">
        <v>2</v>
      </c>
      <c r="E29" s="40"/>
      <c r="F29" s="40">
        <v>23</v>
      </c>
      <c r="G29" s="27" t="s">
        <v>73</v>
      </c>
      <c r="H29" s="71">
        <v>1</v>
      </c>
      <c r="I29" s="71">
        <v>1</v>
      </c>
      <c r="J29" s="71"/>
      <c r="K29" s="71"/>
      <c r="L29" s="40">
        <v>1</v>
      </c>
      <c r="M29" s="171" t="s">
        <v>120</v>
      </c>
      <c r="N29" s="172"/>
      <c r="O29" s="172"/>
      <c r="P29" s="172"/>
      <c r="Q29" s="172"/>
      <c r="R29" s="173"/>
      <c r="S29" s="49"/>
      <c r="T29" s="50"/>
      <c r="U29" s="51"/>
      <c r="V29" s="54"/>
      <c r="W29" s="178"/>
      <c r="Z29" s="1"/>
    </row>
    <row r="30" spans="1:27" ht="51.95" customHeight="1">
      <c r="A30" s="33">
        <v>24</v>
      </c>
      <c r="B30" s="27" t="s">
        <v>103</v>
      </c>
      <c r="C30" s="40">
        <v>1</v>
      </c>
      <c r="D30" s="40"/>
      <c r="E30" s="40">
        <v>1</v>
      </c>
      <c r="F30" s="40">
        <v>24</v>
      </c>
      <c r="G30" s="27" t="s">
        <v>97</v>
      </c>
      <c r="H30" s="71">
        <v>2</v>
      </c>
      <c r="I30" s="71"/>
      <c r="J30" s="71"/>
      <c r="K30" s="71"/>
      <c r="L30" s="152">
        <v>2</v>
      </c>
      <c r="M30" s="180" t="s">
        <v>119</v>
      </c>
      <c r="N30" s="181"/>
      <c r="O30" s="181"/>
      <c r="P30" s="181"/>
      <c r="Q30" s="181"/>
      <c r="R30" s="182"/>
      <c r="S30" s="160"/>
      <c r="T30" s="162"/>
      <c r="U30" s="163"/>
      <c r="V30" s="166"/>
      <c r="W30" s="179"/>
      <c r="Z30" s="1"/>
    </row>
    <row r="31" spans="1:27" ht="51.95" customHeight="1">
      <c r="A31" s="33">
        <v>25</v>
      </c>
      <c r="B31" s="27" t="s">
        <v>60</v>
      </c>
      <c r="C31" s="40">
        <v>3</v>
      </c>
      <c r="D31" s="40">
        <v>2</v>
      </c>
      <c r="E31" s="40">
        <v>1</v>
      </c>
      <c r="F31" s="40"/>
      <c r="G31" s="27"/>
      <c r="H31" s="27"/>
      <c r="I31" s="27"/>
      <c r="J31" s="27"/>
      <c r="K31" s="27"/>
      <c r="L31" s="153"/>
      <c r="M31" s="183"/>
      <c r="N31" s="184"/>
      <c r="O31" s="184"/>
      <c r="P31" s="184"/>
      <c r="Q31" s="184"/>
      <c r="R31" s="185"/>
      <c r="S31" s="161"/>
      <c r="T31" s="164"/>
      <c r="U31" s="165"/>
      <c r="V31" s="167"/>
      <c r="W31" s="179"/>
      <c r="Z31" s="1"/>
    </row>
    <row r="32" spans="1:27" ht="51.95" customHeight="1">
      <c r="A32" s="33">
        <v>26</v>
      </c>
      <c r="B32" s="27" t="s">
        <v>65</v>
      </c>
      <c r="C32" s="40">
        <v>3</v>
      </c>
      <c r="D32" s="40">
        <v>1</v>
      </c>
      <c r="E32" s="40">
        <v>2</v>
      </c>
      <c r="F32" s="40"/>
      <c r="G32" s="27"/>
      <c r="H32" s="27"/>
      <c r="I32" s="27"/>
      <c r="J32" s="27"/>
      <c r="K32" s="27"/>
      <c r="L32" s="186">
        <v>3</v>
      </c>
      <c r="M32" s="180" t="s">
        <v>128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33">
        <v>27</v>
      </c>
      <c r="B33" s="27" t="s">
        <v>62</v>
      </c>
      <c r="C33" s="40">
        <v>9</v>
      </c>
      <c r="D33" s="40">
        <v>6</v>
      </c>
      <c r="E33" s="40">
        <v>3</v>
      </c>
      <c r="F33" s="40"/>
      <c r="G33" s="27"/>
      <c r="H33" s="27"/>
      <c r="I33" s="27"/>
      <c r="J33" s="27"/>
      <c r="K33" s="27"/>
      <c r="L33" s="186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33">
        <v>28</v>
      </c>
      <c r="B34" s="27" t="s">
        <v>36</v>
      </c>
      <c r="C34" s="40">
        <v>1</v>
      </c>
      <c r="D34" s="40"/>
      <c r="E34" s="40">
        <v>1</v>
      </c>
      <c r="F34" s="40"/>
      <c r="G34" s="27"/>
      <c r="H34" s="27"/>
      <c r="I34" s="27"/>
      <c r="J34" s="27"/>
      <c r="K34" s="27"/>
      <c r="L34" s="152">
        <v>4</v>
      </c>
      <c r="M34" s="384" t="s">
        <v>155</v>
      </c>
      <c r="N34" s="385"/>
      <c r="O34" s="385"/>
      <c r="P34" s="385"/>
      <c r="Q34" s="385"/>
      <c r="R34" s="386"/>
      <c r="S34" s="160"/>
      <c r="T34" s="162"/>
      <c r="U34" s="163"/>
      <c r="V34" s="166"/>
      <c r="W34" s="16"/>
      <c r="Z34" s="1"/>
    </row>
    <row r="35" spans="1:27" ht="51.95" customHeight="1">
      <c r="A35" s="33">
        <v>29</v>
      </c>
      <c r="B35" s="27" t="s">
        <v>93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3"/>
      <c r="M35" s="387"/>
      <c r="N35" s="388"/>
      <c r="O35" s="388"/>
      <c r="P35" s="388"/>
      <c r="Q35" s="388"/>
      <c r="R35" s="389"/>
      <c r="S35" s="161"/>
      <c r="T35" s="164"/>
      <c r="U35" s="165"/>
      <c r="V35" s="167"/>
      <c r="W35" s="16"/>
      <c r="Z35" s="1"/>
    </row>
    <row r="36" spans="1:27" ht="51.95" customHeight="1">
      <c r="A36" s="33">
        <v>30</v>
      </c>
      <c r="B36" s="27" t="s">
        <v>46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27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  <c r="Z36" s="1"/>
    </row>
    <row r="37" spans="1:27" ht="51.95" customHeight="1">
      <c r="A37" s="33">
        <v>31</v>
      </c>
      <c r="B37" s="27" t="s">
        <v>95</v>
      </c>
      <c r="C37" s="40">
        <v>8</v>
      </c>
      <c r="D37" s="40"/>
      <c r="E37" s="40">
        <v>8</v>
      </c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33">
        <v>32</v>
      </c>
      <c r="B38" s="70" t="s">
        <v>118</v>
      </c>
      <c r="C38" s="64">
        <v>4</v>
      </c>
      <c r="D38" s="64">
        <v>4</v>
      </c>
      <c r="E38" s="64"/>
      <c r="F38" s="64"/>
      <c r="G38" s="70"/>
      <c r="H38" s="70"/>
      <c r="I38" s="70"/>
      <c r="J38" s="70"/>
      <c r="K38" s="7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93</v>
      </c>
      <c r="D39" s="61">
        <f>SUM(D7:D38)</f>
        <v>53</v>
      </c>
      <c r="E39" s="61">
        <f>SUM(E7:E38)</f>
        <v>39</v>
      </c>
      <c r="F39" s="151" t="s">
        <v>9</v>
      </c>
      <c r="G39" s="151"/>
      <c r="H39" s="75">
        <f>SUM(H7:H37)</f>
        <v>73</v>
      </c>
      <c r="I39" s="60">
        <f>SUM(I7:I37)</f>
        <v>60</v>
      </c>
      <c r="J39" s="75">
        <f>SUM(J7:J37)</f>
        <v>9</v>
      </c>
      <c r="K39" s="75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05" customHeight="1">
      <c r="A42" s="13">
        <v>1</v>
      </c>
      <c r="B42" s="74" t="s">
        <v>135</v>
      </c>
      <c r="C42" s="134"/>
      <c r="D42" s="135"/>
      <c r="E42" s="109">
        <v>96</v>
      </c>
      <c r="F42" s="111"/>
      <c r="G42" s="110"/>
      <c r="H42" s="134">
        <v>0.6</v>
      </c>
      <c r="I42" s="136"/>
      <c r="J42" s="135"/>
      <c r="K42" s="134">
        <v>96.8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80">
        <f>K42+H42</f>
        <v>97.399999999999991</v>
      </c>
      <c r="Y42" s="8"/>
    </row>
    <row r="43" spans="1:27" ht="110.25" customHeight="1">
      <c r="A43" s="13">
        <v>2</v>
      </c>
      <c r="B43" s="74" t="s">
        <v>136</v>
      </c>
      <c r="C43" s="117"/>
      <c r="D43" s="118"/>
      <c r="E43" s="109">
        <v>2527</v>
      </c>
      <c r="F43" s="111"/>
      <c r="G43" s="110"/>
      <c r="H43" s="134">
        <v>1.5</v>
      </c>
      <c r="I43" s="136"/>
      <c r="J43" s="135"/>
      <c r="K43" s="134">
        <v>674.5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80">
        <f t="shared" ref="W43:W50" si="2">K43+H43</f>
        <v>676</v>
      </c>
      <c r="X43" s="2"/>
      <c r="Y43" s="7"/>
      <c r="Z43" s="7"/>
      <c r="AA43" s="9"/>
    </row>
    <row r="44" spans="1:27" ht="90.75" customHeight="1">
      <c r="A44" s="13">
        <v>3</v>
      </c>
      <c r="B44" s="74" t="s">
        <v>80</v>
      </c>
      <c r="C44" s="122"/>
      <c r="D44" s="123"/>
      <c r="E44" s="109">
        <v>118000</v>
      </c>
      <c r="F44" s="111"/>
      <c r="G44" s="110"/>
      <c r="H44" s="109">
        <v>1450</v>
      </c>
      <c r="I44" s="111"/>
      <c r="J44" s="110"/>
      <c r="K44" s="109">
        <v>116036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117486</v>
      </c>
      <c r="X44" s="2"/>
      <c r="Y44" s="7"/>
      <c r="Z44" s="7"/>
      <c r="AA44" s="9"/>
    </row>
    <row r="45" spans="1:27" ht="65.099999999999994" customHeight="1">
      <c r="A45" s="13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/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13">
        <v>5</v>
      </c>
      <c r="B46" s="74" t="s">
        <v>114</v>
      </c>
      <c r="C46" s="122">
        <v>22</v>
      </c>
      <c r="D46" s="123"/>
      <c r="E46" s="109">
        <v>1184</v>
      </c>
      <c r="F46" s="111"/>
      <c r="G46" s="110"/>
      <c r="H46" s="109">
        <v>22</v>
      </c>
      <c r="I46" s="111"/>
      <c r="J46" s="110"/>
      <c r="K46" s="109">
        <v>1184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1206</v>
      </c>
      <c r="X46" s="2"/>
      <c r="Y46" s="7"/>
      <c r="Z46" s="7"/>
      <c r="AA46" s="9"/>
    </row>
    <row r="47" spans="1:27" ht="65.099999999999994" customHeight="1">
      <c r="A47" s="13">
        <v>6</v>
      </c>
      <c r="B47" s="74" t="s">
        <v>115</v>
      </c>
      <c r="C47" s="122">
        <v>99</v>
      </c>
      <c r="D47" s="123"/>
      <c r="E47" s="109">
        <v>6890</v>
      </c>
      <c r="F47" s="111"/>
      <c r="G47" s="110"/>
      <c r="H47" s="109">
        <v>99</v>
      </c>
      <c r="I47" s="111"/>
      <c r="J47" s="110"/>
      <c r="K47" s="109">
        <v>6890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6989</v>
      </c>
      <c r="X47" s="2"/>
      <c r="Y47" s="7"/>
      <c r="Z47" s="7"/>
      <c r="AA47" s="9"/>
    </row>
    <row r="48" spans="1:27" ht="65.099999999999994" customHeight="1">
      <c r="A48" s="13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/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13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/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13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/>
      <c r="I50" s="111"/>
      <c r="J50" s="110"/>
      <c r="K50" s="109">
        <v>200</v>
      </c>
      <c r="L50" s="111"/>
      <c r="M50" s="111"/>
      <c r="N50" s="110"/>
      <c r="O50" s="112"/>
      <c r="P50" s="112"/>
      <c r="Q50" s="112"/>
      <c r="R50" s="112"/>
      <c r="S50" s="112"/>
      <c r="T50" s="112"/>
      <c r="U50" s="112"/>
      <c r="V50" s="113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42.7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4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5" t="s">
        <v>67</v>
      </c>
      <c r="P54" s="105"/>
      <c r="Q54" s="105"/>
      <c r="R54" s="105"/>
      <c r="S54" s="105"/>
      <c r="T54" s="105"/>
      <c r="U54" s="105"/>
      <c r="V54" s="106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5"/>
      <c r="P55" s="105"/>
      <c r="Q55" s="105"/>
      <c r="R55" s="105"/>
      <c r="S55" s="105"/>
      <c r="T55" s="105"/>
      <c r="U55" s="105"/>
      <c r="V55" s="106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/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7"/>
      <c r="P58" s="107"/>
      <c r="Q58" s="107"/>
      <c r="R58" s="107"/>
      <c r="S58" s="107"/>
      <c r="T58" s="107"/>
      <c r="U58" s="107"/>
      <c r="V58" s="108"/>
    </row>
    <row r="61" spans="1:27">
      <c r="S61" s="28"/>
      <c r="T61" s="28"/>
      <c r="U61" s="28"/>
    </row>
    <row r="62" spans="1:27">
      <c r="G62" s="12" t="s">
        <v>58</v>
      </c>
      <c r="H62" s="24">
        <v>1</v>
      </c>
      <c r="I62" s="24"/>
      <c r="J62" s="24">
        <v>1</v>
      </c>
      <c r="S62" s="28"/>
      <c r="T62" s="28">
        <v>17</v>
      </c>
      <c r="U62" s="29"/>
    </row>
    <row r="63" spans="1:27">
      <c r="G63" s="12" t="s">
        <v>103</v>
      </c>
      <c r="H63" s="24">
        <v>1</v>
      </c>
      <c r="I63" s="24">
        <v>1</v>
      </c>
      <c r="J63" s="24"/>
      <c r="S63" s="28"/>
      <c r="T63" s="28">
        <v>17</v>
      </c>
      <c r="U63" s="30"/>
    </row>
    <row r="64" spans="1:27">
      <c r="G64" s="12" t="s">
        <v>44</v>
      </c>
      <c r="H64" s="24">
        <v>2</v>
      </c>
      <c r="I64" s="24">
        <v>2</v>
      </c>
      <c r="J64" s="24"/>
      <c r="S64" s="28"/>
      <c r="T64" s="28">
        <v>17</v>
      </c>
      <c r="U64" s="28"/>
    </row>
    <row r="65" spans="1:31">
      <c r="G65" s="12" t="s">
        <v>8</v>
      </c>
      <c r="H65" s="24">
        <v>8</v>
      </c>
      <c r="I65" s="24">
        <v>8</v>
      </c>
      <c r="J65" s="24"/>
      <c r="T65" s="3">
        <v>17</v>
      </c>
    </row>
    <row r="66" spans="1:31">
      <c r="G66" s="12" t="s">
        <v>101</v>
      </c>
      <c r="H66" s="24">
        <v>1</v>
      </c>
      <c r="I66" s="24">
        <v>1</v>
      </c>
      <c r="J66" s="24"/>
      <c r="T66" s="3">
        <v>19</v>
      </c>
    </row>
    <row r="67" spans="1:31">
      <c r="G67" s="12" t="s">
        <v>63</v>
      </c>
      <c r="H67" s="24">
        <v>8</v>
      </c>
      <c r="I67" s="24">
        <v>7</v>
      </c>
      <c r="J67" s="24">
        <v>1</v>
      </c>
      <c r="T67" s="3">
        <v>20</v>
      </c>
    </row>
    <row r="68" spans="1:31">
      <c r="G68" s="12" t="s">
        <v>17</v>
      </c>
      <c r="H68" s="24">
        <v>7</v>
      </c>
      <c r="I68" s="24">
        <v>6</v>
      </c>
      <c r="J68" s="24">
        <v>1</v>
      </c>
      <c r="T68" s="3">
        <v>21</v>
      </c>
    </row>
    <row r="69" spans="1:31">
      <c r="G69" s="12" t="s">
        <v>65</v>
      </c>
      <c r="H69" s="24">
        <v>2</v>
      </c>
      <c r="I69" s="24">
        <v>2</v>
      </c>
      <c r="J69" s="24"/>
      <c r="T69" s="3">
        <v>18</v>
      </c>
    </row>
    <row r="70" spans="1:31">
      <c r="G70" s="12" t="s">
        <v>62</v>
      </c>
      <c r="H70" s="24">
        <v>7</v>
      </c>
      <c r="I70" s="24">
        <v>6</v>
      </c>
      <c r="J70" s="24">
        <v>1</v>
      </c>
      <c r="T70" s="3">
        <v>18.600000000000001</v>
      </c>
    </row>
    <row r="71" spans="1:31" s="3" customFormat="1">
      <c r="A71"/>
      <c r="B71" s="15"/>
      <c r="G71" s="12" t="s">
        <v>36</v>
      </c>
      <c r="H71" s="24">
        <f>J72+I71</f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43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45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93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46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60</v>
      </c>
      <c r="H76" s="24">
        <v>4</v>
      </c>
      <c r="I76" s="24">
        <v>4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48</v>
      </c>
      <c r="H77" s="24">
        <v>1</v>
      </c>
      <c r="I77" s="24"/>
      <c r="J77" s="24">
        <v>1</v>
      </c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95</v>
      </c>
      <c r="H78" s="24">
        <v>6</v>
      </c>
      <c r="I78" s="24">
        <v>6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47">
    <mergeCell ref="A52:V52"/>
    <mergeCell ref="A53:N53"/>
    <mergeCell ref="O53:V53"/>
    <mergeCell ref="A54:N58"/>
    <mergeCell ref="O54:V58"/>
    <mergeCell ref="C50:D50"/>
    <mergeCell ref="E50:G50"/>
    <mergeCell ref="H50:J50"/>
    <mergeCell ref="K50:N50"/>
    <mergeCell ref="O50:V50"/>
    <mergeCell ref="A51:V51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1:D41"/>
    <mergeCell ref="E41:G41"/>
    <mergeCell ref="H41:J41"/>
    <mergeCell ref="K41:N41"/>
    <mergeCell ref="O41:R41"/>
    <mergeCell ref="M36:R36"/>
    <mergeCell ref="M37:R37"/>
    <mergeCell ref="M38:R38"/>
    <mergeCell ref="A39:B39"/>
    <mergeCell ref="F39:G39"/>
    <mergeCell ref="M39:R39"/>
    <mergeCell ref="L34:L35"/>
    <mergeCell ref="M34:R35"/>
    <mergeCell ref="S34:S35"/>
    <mergeCell ref="T34:U35"/>
    <mergeCell ref="V34:V35"/>
    <mergeCell ref="L28:V28"/>
    <mergeCell ref="M29:R29"/>
    <mergeCell ref="A40:N40"/>
    <mergeCell ref="O40:V40"/>
    <mergeCell ref="W29:W33"/>
    <mergeCell ref="L30:L31"/>
    <mergeCell ref="M30:R31"/>
    <mergeCell ref="S30:S31"/>
    <mergeCell ref="T30:U31"/>
    <mergeCell ref="V30:V31"/>
    <mergeCell ref="L32:L33"/>
    <mergeCell ref="M32:R33"/>
    <mergeCell ref="L22:L27"/>
    <mergeCell ref="M22:R27"/>
    <mergeCell ref="S22:S27"/>
    <mergeCell ref="T22:U27"/>
    <mergeCell ref="V22:V27"/>
    <mergeCell ref="W25:W27"/>
    <mergeCell ref="S32:S33"/>
    <mergeCell ref="T32:U33"/>
    <mergeCell ref="V32:V33"/>
    <mergeCell ref="V17:V18"/>
    <mergeCell ref="L19:L21"/>
    <mergeCell ref="M19:R21"/>
    <mergeCell ref="S19:S21"/>
    <mergeCell ref="T19:U21"/>
    <mergeCell ref="V19:V21"/>
    <mergeCell ref="M16:R16"/>
    <mergeCell ref="T16:U16"/>
    <mergeCell ref="L17:L18"/>
    <mergeCell ref="M17:R18"/>
    <mergeCell ref="S17:S18"/>
    <mergeCell ref="T17:U1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</mergeCells>
  <printOptions horizontalCentered="1" verticalCentered="1"/>
  <pageMargins left="0.15" right="0.15" top="0.5" bottom="0.8" header="0" footer="0"/>
  <pageSetup paperSize="9" scale="2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2352-A46D-4E5A-A340-5041784F8AD6}">
  <sheetPr>
    <pageSetUpPr fitToPage="1"/>
  </sheetPr>
  <dimension ref="A1:AH111"/>
  <sheetViews>
    <sheetView rightToLeft="1" view="pageBreakPreview" topLeftCell="A37" zoomScale="25" zoomScaleNormal="110" zoomScaleSheetLayoutView="25" workbookViewId="0">
      <selection activeCell="T17" sqref="T17:U18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9.140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16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168</v>
      </c>
      <c r="S1" s="297"/>
      <c r="T1" s="300" t="s">
        <v>162</v>
      </c>
      <c r="U1" s="300"/>
      <c r="V1" s="302" t="s">
        <v>163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303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303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164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16" t="s">
        <v>82</v>
      </c>
      <c r="W7" s="19"/>
    </row>
    <row r="8" spans="1:34" ht="51.9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17"/>
      <c r="W8" s="19"/>
      <c r="AA8" s="6"/>
      <c r="AB8" s="6"/>
      <c r="AC8" s="6"/>
      <c r="AD8" s="6"/>
      <c r="AE8" s="6"/>
    </row>
    <row r="9" spans="1:34" ht="51.9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/>
      <c r="J9" s="71">
        <v>1</v>
      </c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349">
        <v>492480</v>
      </c>
      <c r="X9" s="5"/>
      <c r="Y9" s="5">
        <v>3000</v>
      </c>
      <c r="Z9" s="5"/>
    </row>
    <row r="10" spans="1:34" ht="51.9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/>
      <c r="J10" s="71">
        <v>1</v>
      </c>
      <c r="K10" s="71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350"/>
      <c r="W10" s="19"/>
      <c r="AA10" s="6"/>
      <c r="AB10" s="6"/>
      <c r="AC10" s="6"/>
      <c r="AD10" s="6"/>
      <c r="AE10" s="6"/>
    </row>
    <row r="11" spans="1:34" ht="60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2</v>
      </c>
      <c r="J11" s="71">
        <v>4</v>
      </c>
      <c r="K11" s="71"/>
      <c r="L11" s="186">
        <v>2</v>
      </c>
      <c r="M11" s="390" t="s">
        <v>165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349">
        <v>186495</v>
      </c>
      <c r="W11" s="236">
        <f>V11+T11</f>
        <v>186495</v>
      </c>
      <c r="AA11" s="6"/>
      <c r="AB11" s="6"/>
      <c r="AC11" s="6"/>
      <c r="AD11" s="6"/>
      <c r="AE11" s="6"/>
    </row>
    <row r="12" spans="1:34" ht="60" customHeight="1">
      <c r="A12" s="33">
        <v>6</v>
      </c>
      <c r="B12" s="69" t="s">
        <v>39</v>
      </c>
      <c r="C12" s="40">
        <v>1</v>
      </c>
      <c r="D12" s="40"/>
      <c r="E12" s="40">
        <v>1</v>
      </c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36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33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72">
        <v>1</v>
      </c>
      <c r="I13" s="72">
        <v>1</v>
      </c>
      <c r="J13" s="72"/>
      <c r="K13" s="71"/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36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60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1</v>
      </c>
      <c r="J14" s="71"/>
      <c r="K14" s="71">
        <v>1</v>
      </c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350"/>
      <c r="W14" s="236"/>
    </row>
    <row r="15" spans="1:34" ht="51.95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79">
        <v>51330</v>
      </c>
      <c r="W15" s="39">
        <f>V15+T15</f>
        <v>51330</v>
      </c>
    </row>
    <row r="16" spans="1:34" ht="51.95" customHeight="1">
      <c r="A16" s="33">
        <v>10</v>
      </c>
      <c r="B16" s="67" t="s">
        <v>113</v>
      </c>
      <c r="C16" s="40">
        <v>1</v>
      </c>
      <c r="D16" s="40">
        <v>1</v>
      </c>
      <c r="E16" s="40"/>
      <c r="F16" s="40">
        <v>10</v>
      </c>
      <c r="G16" s="24" t="s">
        <v>70</v>
      </c>
      <c r="H16" s="71">
        <v>3</v>
      </c>
      <c r="I16" s="71">
        <v>2</v>
      </c>
      <c r="J16" s="71">
        <v>1</v>
      </c>
      <c r="K16" s="71"/>
      <c r="L16" s="40">
        <v>4</v>
      </c>
      <c r="M16" s="140" t="s">
        <v>116</v>
      </c>
      <c r="N16" s="141"/>
      <c r="O16" s="141"/>
      <c r="P16" s="141"/>
      <c r="Q16" s="141"/>
      <c r="R16" s="142"/>
      <c r="S16" s="35" t="s">
        <v>85</v>
      </c>
      <c r="T16" s="373">
        <v>0</v>
      </c>
      <c r="U16" s="374"/>
      <c r="V16" s="79">
        <v>43476</v>
      </c>
      <c r="W16" s="47">
        <f>V16+T16</f>
        <v>43476</v>
      </c>
    </row>
    <row r="17" spans="1:27" ht="51.95" customHeight="1">
      <c r="A17" s="33">
        <v>11</v>
      </c>
      <c r="B17" s="27" t="s">
        <v>21</v>
      </c>
      <c r="C17" s="40">
        <v>2</v>
      </c>
      <c r="D17" s="40">
        <v>2</v>
      </c>
      <c r="E17" s="40"/>
      <c r="F17" s="40">
        <v>11</v>
      </c>
      <c r="G17" s="27" t="s">
        <v>102</v>
      </c>
      <c r="H17" s="71">
        <v>2</v>
      </c>
      <c r="I17" s="71">
        <v>2</v>
      </c>
      <c r="J17" s="71"/>
      <c r="K17" s="71"/>
      <c r="L17" s="186">
        <v>5</v>
      </c>
      <c r="M17" s="230" t="s">
        <v>161</v>
      </c>
      <c r="N17" s="231"/>
      <c r="O17" s="231"/>
      <c r="P17" s="231"/>
      <c r="Q17" s="231"/>
      <c r="R17" s="232"/>
      <c r="S17" s="160" t="s">
        <v>85</v>
      </c>
      <c r="T17" s="367">
        <v>750</v>
      </c>
      <c r="U17" s="368"/>
      <c r="V17" s="349">
        <v>92556</v>
      </c>
      <c r="W17" s="47">
        <f>V17+T17</f>
        <v>93306</v>
      </c>
      <c r="X17">
        <v>1</v>
      </c>
      <c r="Z17" s="1"/>
    </row>
    <row r="18" spans="1:27" ht="51.95" customHeight="1">
      <c r="A18" s="33">
        <v>12</v>
      </c>
      <c r="B18" s="27" t="s">
        <v>105</v>
      </c>
      <c r="C18" s="40">
        <v>1</v>
      </c>
      <c r="D18" s="40"/>
      <c r="E18" s="40">
        <v>1</v>
      </c>
      <c r="F18" s="40">
        <v>12</v>
      </c>
      <c r="G18" s="27" t="s">
        <v>78</v>
      </c>
      <c r="H18" s="71">
        <v>5</v>
      </c>
      <c r="I18" s="71">
        <v>4</v>
      </c>
      <c r="J18" s="71">
        <v>1</v>
      </c>
      <c r="K18" s="71"/>
      <c r="L18" s="186"/>
      <c r="M18" s="233"/>
      <c r="N18" s="234"/>
      <c r="O18" s="234"/>
      <c r="P18" s="234"/>
      <c r="Q18" s="234"/>
      <c r="R18" s="235"/>
      <c r="S18" s="161"/>
      <c r="T18" s="371"/>
      <c r="U18" s="372"/>
      <c r="V18" s="350"/>
      <c r="W18" s="32"/>
      <c r="Z18" s="1"/>
    </row>
    <row r="19" spans="1:27" ht="51.95" customHeight="1">
      <c r="A19" s="33">
        <v>13</v>
      </c>
      <c r="B19" s="27" t="s">
        <v>117</v>
      </c>
      <c r="C19" s="40">
        <v>1</v>
      </c>
      <c r="D19" s="40"/>
      <c r="E19" s="40">
        <v>1</v>
      </c>
      <c r="F19" s="40">
        <v>13</v>
      </c>
      <c r="G19" s="27" t="s">
        <v>19</v>
      </c>
      <c r="H19" s="71">
        <v>2</v>
      </c>
      <c r="I19" s="71">
        <v>2</v>
      </c>
      <c r="J19" s="71"/>
      <c r="K19" s="71"/>
      <c r="L19" s="152">
        <v>6</v>
      </c>
      <c r="M19" s="212" t="s">
        <v>159</v>
      </c>
      <c r="N19" s="213"/>
      <c r="O19" s="213"/>
      <c r="P19" s="213"/>
      <c r="Q19" s="213"/>
      <c r="R19" s="214"/>
      <c r="S19" s="160" t="s">
        <v>85</v>
      </c>
      <c r="T19" s="367">
        <v>0</v>
      </c>
      <c r="U19" s="368"/>
      <c r="V19" s="349">
        <v>40481</v>
      </c>
      <c r="W19" s="32"/>
      <c r="Z19" s="1"/>
    </row>
    <row r="20" spans="1:27" ht="51.95" customHeight="1">
      <c r="A20" s="33">
        <v>14</v>
      </c>
      <c r="B20" s="31" t="s">
        <v>37</v>
      </c>
      <c r="C20" s="40">
        <v>1</v>
      </c>
      <c r="D20" s="40"/>
      <c r="E20" s="40">
        <v>1</v>
      </c>
      <c r="F20" s="40">
        <v>14</v>
      </c>
      <c r="G20" s="27" t="s">
        <v>59</v>
      </c>
      <c r="H20" s="71">
        <v>1</v>
      </c>
      <c r="I20" s="71"/>
      <c r="J20" s="71">
        <v>1</v>
      </c>
      <c r="K20" s="71"/>
      <c r="L20" s="187"/>
      <c r="M20" s="215"/>
      <c r="N20" s="216"/>
      <c r="O20" s="216"/>
      <c r="P20" s="216"/>
      <c r="Q20" s="216"/>
      <c r="R20" s="217"/>
      <c r="S20" s="221"/>
      <c r="T20" s="369"/>
      <c r="U20" s="370"/>
      <c r="V20" s="366"/>
      <c r="W20" s="47">
        <f>V19+T19</f>
        <v>40481</v>
      </c>
      <c r="Z20" s="1"/>
    </row>
    <row r="21" spans="1:27" ht="51.95" customHeight="1">
      <c r="A21" s="33">
        <v>15</v>
      </c>
      <c r="B21" s="14" t="s">
        <v>94</v>
      </c>
      <c r="C21" s="40">
        <v>1</v>
      </c>
      <c r="D21" s="40">
        <v>1</v>
      </c>
      <c r="E21" s="40"/>
      <c r="F21" s="40">
        <v>15</v>
      </c>
      <c r="G21" s="27" t="s">
        <v>92</v>
      </c>
      <c r="H21" s="71">
        <v>1</v>
      </c>
      <c r="I21" s="71">
        <v>1</v>
      </c>
      <c r="J21" s="73"/>
      <c r="K21" s="71"/>
      <c r="L21" s="187"/>
      <c r="M21" s="218"/>
      <c r="N21" s="219"/>
      <c r="O21" s="219"/>
      <c r="P21" s="219"/>
      <c r="Q21" s="219"/>
      <c r="R21" s="220"/>
      <c r="S21" s="161"/>
      <c r="T21" s="371"/>
      <c r="U21" s="372"/>
      <c r="V21" s="350"/>
      <c r="W21" s="32"/>
      <c r="Z21" s="1"/>
    </row>
    <row r="22" spans="1:27" ht="51.95" customHeight="1">
      <c r="A22" s="33">
        <v>16</v>
      </c>
      <c r="B22" s="27" t="s">
        <v>8</v>
      </c>
      <c r="C22" s="59">
        <v>12</v>
      </c>
      <c r="D22" s="40">
        <v>4</v>
      </c>
      <c r="E22" s="40">
        <v>8</v>
      </c>
      <c r="F22" s="40">
        <v>16</v>
      </c>
      <c r="G22" s="27" t="s">
        <v>7</v>
      </c>
      <c r="H22" s="71">
        <v>3</v>
      </c>
      <c r="I22" s="71">
        <v>3</v>
      </c>
      <c r="J22" s="71"/>
      <c r="K22" s="71"/>
      <c r="L22" s="152">
        <v>7</v>
      </c>
      <c r="M22" s="401" t="s">
        <v>166</v>
      </c>
      <c r="N22" s="402"/>
      <c r="O22" s="402"/>
      <c r="P22" s="402"/>
      <c r="Q22" s="402"/>
      <c r="R22" s="403"/>
      <c r="S22" s="197" t="s">
        <v>85</v>
      </c>
      <c r="T22" s="360">
        <v>0</v>
      </c>
      <c r="U22" s="361"/>
      <c r="V22" s="349">
        <v>30524</v>
      </c>
      <c r="Z22" s="1"/>
    </row>
    <row r="23" spans="1:27" ht="51.95" customHeight="1">
      <c r="A23" s="33">
        <v>17</v>
      </c>
      <c r="B23" s="27" t="s">
        <v>63</v>
      </c>
      <c r="C23" s="59">
        <v>14</v>
      </c>
      <c r="D23" s="40">
        <v>7</v>
      </c>
      <c r="E23" s="40">
        <v>7</v>
      </c>
      <c r="F23" s="40">
        <v>17</v>
      </c>
      <c r="G23" s="27" t="s">
        <v>14</v>
      </c>
      <c r="H23" s="71">
        <v>4</v>
      </c>
      <c r="I23" s="71">
        <v>3</v>
      </c>
      <c r="J23" s="71"/>
      <c r="K23" s="71">
        <v>1</v>
      </c>
      <c r="L23" s="187"/>
      <c r="M23" s="404"/>
      <c r="N23" s="405"/>
      <c r="O23" s="405"/>
      <c r="P23" s="405"/>
      <c r="Q23" s="405"/>
      <c r="R23" s="406"/>
      <c r="S23" s="198"/>
      <c r="T23" s="362"/>
      <c r="U23" s="363"/>
      <c r="V23" s="366"/>
      <c r="W23" s="32"/>
      <c r="Z23" s="1"/>
    </row>
    <row r="24" spans="1:27" ht="51.95" customHeight="1">
      <c r="A24" s="33">
        <v>18</v>
      </c>
      <c r="B24" s="27" t="s">
        <v>17</v>
      </c>
      <c r="C24" s="40">
        <v>7</v>
      </c>
      <c r="D24" s="40">
        <v>5</v>
      </c>
      <c r="E24" s="40">
        <v>2</v>
      </c>
      <c r="F24" s="40">
        <v>18</v>
      </c>
      <c r="G24" s="27" t="s">
        <v>15</v>
      </c>
      <c r="H24" s="71">
        <v>1</v>
      </c>
      <c r="I24" s="71">
        <v>1</v>
      </c>
      <c r="J24" s="71"/>
      <c r="K24" s="71"/>
      <c r="L24" s="187"/>
      <c r="M24" s="404"/>
      <c r="N24" s="405"/>
      <c r="O24" s="405"/>
      <c r="P24" s="405"/>
      <c r="Q24" s="405"/>
      <c r="R24" s="406"/>
      <c r="S24" s="198"/>
      <c r="T24" s="362"/>
      <c r="U24" s="363"/>
      <c r="V24" s="366"/>
      <c r="W24" s="32"/>
      <c r="Z24" s="1">
        <v>35734</v>
      </c>
      <c r="AA24">
        <f>Z24/Z25</f>
        <v>0.30193748996611719</v>
      </c>
    </row>
    <row r="25" spans="1:27" s="6" customFormat="1" ht="51.95" customHeight="1">
      <c r="A25" s="33">
        <v>19</v>
      </c>
      <c r="B25" s="27" t="s">
        <v>43</v>
      </c>
      <c r="C25" s="40">
        <v>1</v>
      </c>
      <c r="D25" s="40"/>
      <c r="E25" s="40">
        <v>1</v>
      </c>
      <c r="F25" s="40">
        <v>19</v>
      </c>
      <c r="G25" s="27" t="s">
        <v>40</v>
      </c>
      <c r="H25" s="71">
        <v>2</v>
      </c>
      <c r="I25" s="71">
        <v>2</v>
      </c>
      <c r="J25" s="71"/>
      <c r="K25" s="71"/>
      <c r="L25" s="187"/>
      <c r="M25" s="404"/>
      <c r="N25" s="405"/>
      <c r="O25" s="405"/>
      <c r="P25" s="405"/>
      <c r="Q25" s="405"/>
      <c r="R25" s="406"/>
      <c r="S25" s="198"/>
      <c r="T25" s="362"/>
      <c r="U25" s="363"/>
      <c r="V25" s="366"/>
      <c r="W25" s="209">
        <f>V22+T22</f>
        <v>30524</v>
      </c>
      <c r="Z25" s="34">
        <v>118349</v>
      </c>
    </row>
    <row r="26" spans="1:27" s="6" customFormat="1" ht="51.95" customHeight="1">
      <c r="A26" s="33">
        <v>20</v>
      </c>
      <c r="B26" s="27" t="s">
        <v>45</v>
      </c>
      <c r="C26" s="40">
        <v>2</v>
      </c>
      <c r="D26" s="40">
        <v>1</v>
      </c>
      <c r="E26" s="40">
        <v>1</v>
      </c>
      <c r="F26" s="40">
        <v>20</v>
      </c>
      <c r="G26" s="27" t="s">
        <v>53</v>
      </c>
      <c r="H26" s="71">
        <v>20</v>
      </c>
      <c r="I26" s="71">
        <v>20</v>
      </c>
      <c r="J26" s="71"/>
      <c r="K26" s="71"/>
      <c r="L26" s="187"/>
      <c r="M26" s="404"/>
      <c r="N26" s="405"/>
      <c r="O26" s="405"/>
      <c r="P26" s="405"/>
      <c r="Q26" s="405"/>
      <c r="R26" s="406"/>
      <c r="S26" s="198"/>
      <c r="T26" s="362"/>
      <c r="U26" s="363"/>
      <c r="V26" s="366"/>
      <c r="W26" s="209"/>
      <c r="Z26" s="34"/>
    </row>
    <row r="27" spans="1:27" s="6" customFormat="1" ht="51.95" customHeight="1">
      <c r="A27" s="33">
        <v>21</v>
      </c>
      <c r="B27" s="27" t="s">
        <v>58</v>
      </c>
      <c r="C27" s="40">
        <v>1</v>
      </c>
      <c r="D27" s="40">
        <v>1</v>
      </c>
      <c r="E27" s="40"/>
      <c r="F27" s="40">
        <v>21</v>
      </c>
      <c r="G27" s="27" t="s">
        <v>54</v>
      </c>
      <c r="H27" s="71">
        <v>5</v>
      </c>
      <c r="I27" s="71">
        <v>5</v>
      </c>
      <c r="J27" s="71"/>
      <c r="K27" s="71"/>
      <c r="L27" s="153"/>
      <c r="M27" s="407"/>
      <c r="N27" s="408"/>
      <c r="O27" s="408"/>
      <c r="P27" s="408"/>
      <c r="Q27" s="408"/>
      <c r="R27" s="409"/>
      <c r="S27" s="199"/>
      <c r="T27" s="364"/>
      <c r="U27" s="365"/>
      <c r="V27" s="350"/>
      <c r="W27" s="209"/>
      <c r="Z27" s="34"/>
    </row>
    <row r="28" spans="1:27" ht="51.95" customHeight="1">
      <c r="A28" s="33">
        <v>22</v>
      </c>
      <c r="B28" s="27" t="s">
        <v>101</v>
      </c>
      <c r="C28" s="40">
        <v>1</v>
      </c>
      <c r="D28" s="40">
        <v>1</v>
      </c>
      <c r="E28" s="40"/>
      <c r="F28" s="40">
        <v>22</v>
      </c>
      <c r="G28" s="27" t="s">
        <v>55</v>
      </c>
      <c r="H28" s="71">
        <v>6</v>
      </c>
      <c r="I28" s="71">
        <v>6</v>
      </c>
      <c r="J28" s="71"/>
      <c r="K28" s="71"/>
      <c r="L28" s="168" t="s">
        <v>104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70"/>
      <c r="W28" s="32"/>
      <c r="Z28" s="1"/>
    </row>
    <row r="29" spans="1:27" ht="51.95" customHeight="1">
      <c r="A29" s="33">
        <v>23</v>
      </c>
      <c r="B29" s="27" t="s">
        <v>44</v>
      </c>
      <c r="C29" s="40">
        <v>2</v>
      </c>
      <c r="D29" s="40">
        <v>2</v>
      </c>
      <c r="E29" s="40"/>
      <c r="F29" s="40">
        <v>23</v>
      </c>
      <c r="G29" s="27" t="s">
        <v>73</v>
      </c>
      <c r="H29" s="71">
        <v>1</v>
      </c>
      <c r="I29" s="71">
        <v>1</v>
      </c>
      <c r="J29" s="71"/>
      <c r="K29" s="71"/>
      <c r="L29" s="40">
        <v>1</v>
      </c>
      <c r="M29" s="171" t="s">
        <v>120</v>
      </c>
      <c r="N29" s="172"/>
      <c r="O29" s="172"/>
      <c r="P29" s="172"/>
      <c r="Q29" s="172"/>
      <c r="R29" s="173"/>
      <c r="S29" s="49"/>
      <c r="T29" s="50"/>
      <c r="U29" s="51"/>
      <c r="V29" s="54"/>
      <c r="W29" s="178"/>
      <c r="Z29" s="1"/>
    </row>
    <row r="30" spans="1:27" ht="51.95" customHeight="1">
      <c r="A30" s="33">
        <v>24</v>
      </c>
      <c r="B30" s="27" t="s">
        <v>103</v>
      </c>
      <c r="C30" s="40">
        <v>1</v>
      </c>
      <c r="D30" s="40"/>
      <c r="E30" s="40">
        <v>1</v>
      </c>
      <c r="F30" s="40">
        <v>24</v>
      </c>
      <c r="G30" s="27" t="s">
        <v>97</v>
      </c>
      <c r="H30" s="71">
        <v>2</v>
      </c>
      <c r="I30" s="71"/>
      <c r="J30" s="71"/>
      <c r="K30" s="71"/>
      <c r="L30" s="152">
        <v>2</v>
      </c>
      <c r="M30" s="180" t="s">
        <v>119</v>
      </c>
      <c r="N30" s="181"/>
      <c r="O30" s="181"/>
      <c r="P30" s="181"/>
      <c r="Q30" s="181"/>
      <c r="R30" s="182"/>
      <c r="S30" s="160"/>
      <c r="T30" s="162"/>
      <c r="U30" s="163"/>
      <c r="V30" s="166"/>
      <c r="W30" s="179"/>
      <c r="Z30" s="1"/>
    </row>
    <row r="31" spans="1:27" ht="51.95" customHeight="1">
      <c r="A31" s="33">
        <v>25</v>
      </c>
      <c r="B31" s="27" t="s">
        <v>60</v>
      </c>
      <c r="C31" s="40">
        <v>3</v>
      </c>
      <c r="D31" s="40">
        <v>2</v>
      </c>
      <c r="E31" s="40">
        <v>1</v>
      </c>
      <c r="F31" s="40"/>
      <c r="G31" s="27"/>
      <c r="H31" s="27"/>
      <c r="I31" s="27"/>
      <c r="J31" s="27"/>
      <c r="K31" s="27"/>
      <c r="L31" s="153"/>
      <c r="M31" s="183"/>
      <c r="N31" s="184"/>
      <c r="O31" s="184"/>
      <c r="P31" s="184"/>
      <c r="Q31" s="184"/>
      <c r="R31" s="185"/>
      <c r="S31" s="161"/>
      <c r="T31" s="164"/>
      <c r="U31" s="165"/>
      <c r="V31" s="167"/>
      <c r="W31" s="179"/>
      <c r="Z31" s="1"/>
    </row>
    <row r="32" spans="1:27" ht="51.95" customHeight="1">
      <c r="A32" s="33">
        <v>26</v>
      </c>
      <c r="B32" s="27" t="s">
        <v>65</v>
      </c>
      <c r="C32" s="40">
        <v>3</v>
      </c>
      <c r="D32" s="40">
        <v>1</v>
      </c>
      <c r="E32" s="40">
        <v>2</v>
      </c>
      <c r="F32" s="40"/>
      <c r="G32" s="27"/>
      <c r="H32" s="27"/>
      <c r="I32" s="27"/>
      <c r="J32" s="27"/>
      <c r="K32" s="27"/>
      <c r="L32" s="186">
        <v>3</v>
      </c>
      <c r="M32" s="180" t="s">
        <v>128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33">
        <v>27</v>
      </c>
      <c r="B33" s="27" t="s">
        <v>62</v>
      </c>
      <c r="C33" s="40">
        <v>9</v>
      </c>
      <c r="D33" s="40">
        <v>6</v>
      </c>
      <c r="E33" s="40">
        <v>3</v>
      </c>
      <c r="F33" s="40"/>
      <c r="G33" s="27"/>
      <c r="H33" s="27"/>
      <c r="I33" s="27"/>
      <c r="J33" s="27"/>
      <c r="K33" s="27"/>
      <c r="L33" s="186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33">
        <v>28</v>
      </c>
      <c r="B34" s="27" t="s">
        <v>36</v>
      </c>
      <c r="C34" s="40">
        <v>1</v>
      </c>
      <c r="D34" s="40"/>
      <c r="E34" s="40">
        <v>1</v>
      </c>
      <c r="F34" s="40"/>
      <c r="G34" s="27"/>
      <c r="H34" s="27"/>
      <c r="I34" s="27"/>
      <c r="J34" s="27"/>
      <c r="K34" s="27"/>
      <c r="L34" s="152">
        <v>4</v>
      </c>
      <c r="M34" s="384" t="s">
        <v>155</v>
      </c>
      <c r="N34" s="385"/>
      <c r="O34" s="385"/>
      <c r="P34" s="385"/>
      <c r="Q34" s="385"/>
      <c r="R34" s="386"/>
      <c r="S34" s="160"/>
      <c r="T34" s="162"/>
      <c r="U34" s="163"/>
      <c r="V34" s="166"/>
      <c r="W34" s="16"/>
      <c r="Z34" s="1"/>
    </row>
    <row r="35" spans="1:27" ht="51.95" customHeight="1">
      <c r="A35" s="33">
        <v>29</v>
      </c>
      <c r="B35" s="27" t="s">
        <v>93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3"/>
      <c r="M35" s="387"/>
      <c r="N35" s="388"/>
      <c r="O35" s="388"/>
      <c r="P35" s="388"/>
      <c r="Q35" s="388"/>
      <c r="R35" s="389"/>
      <c r="S35" s="161"/>
      <c r="T35" s="164"/>
      <c r="U35" s="165"/>
      <c r="V35" s="167"/>
      <c r="W35" s="16"/>
      <c r="Z35" s="1"/>
    </row>
    <row r="36" spans="1:27" ht="51.95" customHeight="1">
      <c r="A36" s="33">
        <v>30</v>
      </c>
      <c r="B36" s="27" t="s">
        <v>46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27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  <c r="Z36" s="1"/>
    </row>
    <row r="37" spans="1:27" ht="51.95" customHeight="1">
      <c r="A37" s="33">
        <v>31</v>
      </c>
      <c r="B37" s="27" t="s">
        <v>95</v>
      </c>
      <c r="C37" s="40">
        <v>8</v>
      </c>
      <c r="D37" s="40"/>
      <c r="E37" s="40">
        <v>8</v>
      </c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33">
        <v>32</v>
      </c>
      <c r="B38" s="70" t="s">
        <v>118</v>
      </c>
      <c r="C38" s="64">
        <v>4</v>
      </c>
      <c r="D38" s="64">
        <v>4</v>
      </c>
      <c r="E38" s="64"/>
      <c r="F38" s="64"/>
      <c r="G38" s="70"/>
      <c r="H38" s="70"/>
      <c r="I38" s="70"/>
      <c r="J38" s="70"/>
      <c r="K38" s="7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93</v>
      </c>
      <c r="D39" s="61">
        <f>SUM(D7:D38)</f>
        <v>53</v>
      </c>
      <c r="E39" s="61">
        <f>SUM(E7:E38)</f>
        <v>39</v>
      </c>
      <c r="F39" s="151" t="s">
        <v>9</v>
      </c>
      <c r="G39" s="151"/>
      <c r="H39" s="75">
        <f>SUM(H7:H37)</f>
        <v>73</v>
      </c>
      <c r="I39" s="60">
        <f>SUM(I7:I37)</f>
        <v>60</v>
      </c>
      <c r="J39" s="75">
        <f>SUM(J7:J37)</f>
        <v>9</v>
      </c>
      <c r="K39" s="75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05" customHeight="1">
      <c r="A42" s="13">
        <v>1</v>
      </c>
      <c r="B42" s="74" t="s">
        <v>135</v>
      </c>
      <c r="C42" s="134"/>
      <c r="D42" s="135"/>
      <c r="E42" s="109">
        <v>96</v>
      </c>
      <c r="F42" s="111"/>
      <c r="G42" s="110"/>
      <c r="H42" s="134">
        <v>0.5</v>
      </c>
      <c r="I42" s="136"/>
      <c r="J42" s="135"/>
      <c r="K42" s="134">
        <v>97.3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80">
        <f>K42+H42</f>
        <v>97.8</v>
      </c>
      <c r="Y42" s="8"/>
    </row>
    <row r="43" spans="1:27" ht="110.25" customHeight="1">
      <c r="A43" s="13">
        <v>2</v>
      </c>
      <c r="B43" s="74" t="s">
        <v>136</v>
      </c>
      <c r="C43" s="117"/>
      <c r="D43" s="118"/>
      <c r="E43" s="109">
        <v>2527</v>
      </c>
      <c r="F43" s="111"/>
      <c r="G43" s="110"/>
      <c r="H43" s="134">
        <v>1.4</v>
      </c>
      <c r="I43" s="136"/>
      <c r="J43" s="135"/>
      <c r="K43" s="134">
        <v>675.9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80">
        <f t="shared" ref="W43:W50" si="2">K43+H43</f>
        <v>677.3</v>
      </c>
      <c r="X43" s="2"/>
      <c r="Y43" s="7"/>
      <c r="Z43" s="7"/>
      <c r="AA43" s="9"/>
    </row>
    <row r="44" spans="1:27" ht="90.75" customHeight="1">
      <c r="A44" s="13">
        <v>3</v>
      </c>
      <c r="B44" s="74" t="s">
        <v>80</v>
      </c>
      <c r="C44" s="122"/>
      <c r="D44" s="123"/>
      <c r="E44" s="109">
        <v>118000</v>
      </c>
      <c r="F44" s="111"/>
      <c r="G44" s="110"/>
      <c r="H44" s="109">
        <v>2430</v>
      </c>
      <c r="I44" s="111"/>
      <c r="J44" s="110"/>
      <c r="K44" s="109">
        <v>118466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120896</v>
      </c>
      <c r="X44" s="2"/>
      <c r="Y44" s="7"/>
      <c r="Z44" s="7"/>
      <c r="AA44" s="9"/>
    </row>
    <row r="45" spans="1:27" ht="65.099999999999994" customHeight="1">
      <c r="A45" s="13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/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13">
        <v>5</v>
      </c>
      <c r="B46" s="74" t="s">
        <v>114</v>
      </c>
      <c r="C46" s="122">
        <v>0</v>
      </c>
      <c r="D46" s="123"/>
      <c r="E46" s="109">
        <v>1184</v>
      </c>
      <c r="F46" s="111"/>
      <c r="G46" s="110"/>
      <c r="H46" s="109">
        <v>0</v>
      </c>
      <c r="I46" s="111"/>
      <c r="J46" s="110"/>
      <c r="K46" s="109">
        <v>1184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1184</v>
      </c>
      <c r="X46" s="2"/>
      <c r="Y46" s="7"/>
      <c r="Z46" s="7"/>
      <c r="AA46" s="9"/>
    </row>
    <row r="47" spans="1:27" ht="65.099999999999994" customHeight="1">
      <c r="A47" s="13">
        <v>6</v>
      </c>
      <c r="B47" s="74" t="s">
        <v>115</v>
      </c>
      <c r="C47" s="122">
        <v>88</v>
      </c>
      <c r="D47" s="123"/>
      <c r="E47" s="109">
        <v>6978</v>
      </c>
      <c r="F47" s="111"/>
      <c r="G47" s="110"/>
      <c r="H47" s="109">
        <v>88</v>
      </c>
      <c r="I47" s="111"/>
      <c r="J47" s="110"/>
      <c r="K47" s="109">
        <v>6978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7066</v>
      </c>
      <c r="X47" s="2"/>
      <c r="Y47" s="7"/>
      <c r="Z47" s="7"/>
      <c r="AA47" s="9"/>
    </row>
    <row r="48" spans="1:27" ht="65.099999999999994" customHeight="1">
      <c r="A48" s="13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/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13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/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13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/>
      <c r="I50" s="111"/>
      <c r="J50" s="110"/>
      <c r="K50" s="109">
        <v>200</v>
      </c>
      <c r="L50" s="111"/>
      <c r="M50" s="111"/>
      <c r="N50" s="110"/>
      <c r="O50" s="399" t="s">
        <v>167</v>
      </c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42.7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4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5" t="s">
        <v>67</v>
      </c>
      <c r="P54" s="105"/>
      <c r="Q54" s="105"/>
      <c r="R54" s="105"/>
      <c r="S54" s="105"/>
      <c r="T54" s="105"/>
      <c r="U54" s="105"/>
      <c r="V54" s="106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5"/>
      <c r="P55" s="105"/>
      <c r="Q55" s="105"/>
      <c r="R55" s="105"/>
      <c r="S55" s="105"/>
      <c r="T55" s="105"/>
      <c r="U55" s="105"/>
      <c r="V55" s="106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/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7"/>
      <c r="P58" s="107"/>
      <c r="Q58" s="107"/>
      <c r="R58" s="107"/>
      <c r="S58" s="107"/>
      <c r="T58" s="107"/>
      <c r="U58" s="107"/>
      <c r="V58" s="108"/>
    </row>
    <row r="61" spans="1:27">
      <c r="S61" s="28"/>
      <c r="T61" s="28"/>
      <c r="U61" s="28"/>
    </row>
    <row r="62" spans="1:27">
      <c r="G62" s="12" t="s">
        <v>58</v>
      </c>
      <c r="H62" s="24">
        <v>1</v>
      </c>
      <c r="I62" s="24"/>
      <c r="J62" s="24">
        <v>1</v>
      </c>
      <c r="S62" s="28"/>
      <c r="T62" s="28">
        <v>17</v>
      </c>
      <c r="U62" s="29"/>
    </row>
    <row r="63" spans="1:27">
      <c r="G63" s="12" t="s">
        <v>103</v>
      </c>
      <c r="H63" s="24">
        <v>1</v>
      </c>
      <c r="I63" s="24">
        <v>1</v>
      </c>
      <c r="J63" s="24"/>
      <c r="S63" s="28"/>
      <c r="T63" s="28">
        <v>17</v>
      </c>
      <c r="U63" s="30"/>
    </row>
    <row r="64" spans="1:27">
      <c r="G64" s="12" t="s">
        <v>44</v>
      </c>
      <c r="H64" s="24">
        <v>2</v>
      </c>
      <c r="I64" s="24">
        <v>2</v>
      </c>
      <c r="J64" s="24"/>
      <c r="S64" s="28"/>
      <c r="T64" s="28">
        <v>17</v>
      </c>
      <c r="U64" s="28"/>
    </row>
    <row r="65" spans="1:31">
      <c r="G65" s="12" t="s">
        <v>8</v>
      </c>
      <c r="H65" s="24">
        <v>8</v>
      </c>
      <c r="I65" s="24">
        <v>8</v>
      </c>
      <c r="J65" s="24"/>
      <c r="T65" s="3">
        <v>17</v>
      </c>
    </row>
    <row r="66" spans="1:31">
      <c r="G66" s="12" t="s">
        <v>101</v>
      </c>
      <c r="H66" s="24">
        <v>1</v>
      </c>
      <c r="I66" s="24">
        <v>1</v>
      </c>
      <c r="J66" s="24"/>
      <c r="T66" s="3">
        <v>19</v>
      </c>
    </row>
    <row r="67" spans="1:31">
      <c r="G67" s="12" t="s">
        <v>63</v>
      </c>
      <c r="H67" s="24">
        <v>8</v>
      </c>
      <c r="I67" s="24">
        <v>7</v>
      </c>
      <c r="J67" s="24">
        <v>1</v>
      </c>
      <c r="T67" s="3">
        <v>20</v>
      </c>
    </row>
    <row r="68" spans="1:31">
      <c r="G68" s="12" t="s">
        <v>17</v>
      </c>
      <c r="H68" s="24">
        <v>7</v>
      </c>
      <c r="I68" s="24">
        <v>6</v>
      </c>
      <c r="J68" s="24">
        <v>1</v>
      </c>
      <c r="T68" s="3">
        <v>21</v>
      </c>
    </row>
    <row r="69" spans="1:31">
      <c r="G69" s="12" t="s">
        <v>65</v>
      </c>
      <c r="H69" s="24">
        <v>2</v>
      </c>
      <c r="I69" s="24">
        <v>2</v>
      </c>
      <c r="J69" s="24"/>
      <c r="T69" s="3">
        <v>18</v>
      </c>
    </row>
    <row r="70" spans="1:31">
      <c r="G70" s="12" t="s">
        <v>62</v>
      </c>
      <c r="H70" s="24">
        <v>7</v>
      </c>
      <c r="I70" s="24">
        <v>6</v>
      </c>
      <c r="J70" s="24">
        <v>1</v>
      </c>
      <c r="T70" s="3">
        <v>18.600000000000001</v>
      </c>
    </row>
    <row r="71" spans="1:31" s="3" customFormat="1">
      <c r="A71"/>
      <c r="B71" s="15"/>
      <c r="G71" s="12" t="s">
        <v>36</v>
      </c>
      <c r="H71" s="24">
        <f>J72+I71</f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43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45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93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46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60</v>
      </c>
      <c r="H76" s="24">
        <v>4</v>
      </c>
      <c r="I76" s="24">
        <v>4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48</v>
      </c>
      <c r="H77" s="24">
        <v>1</v>
      </c>
      <c r="I77" s="24"/>
      <c r="J77" s="24">
        <v>1</v>
      </c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95</v>
      </c>
      <c r="H78" s="24">
        <v>6</v>
      </c>
      <c r="I78" s="24">
        <v>6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47"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V17:V18"/>
    <mergeCell ref="L19:L21"/>
    <mergeCell ref="M19:R21"/>
    <mergeCell ref="S19:S21"/>
    <mergeCell ref="T19:U21"/>
    <mergeCell ref="V19:V21"/>
    <mergeCell ref="M16:R16"/>
    <mergeCell ref="T16:U16"/>
    <mergeCell ref="L17:L18"/>
    <mergeCell ref="M17:R18"/>
    <mergeCell ref="S17:S18"/>
    <mergeCell ref="T17:U18"/>
    <mergeCell ref="W29:W33"/>
    <mergeCell ref="L30:L31"/>
    <mergeCell ref="M30:R31"/>
    <mergeCell ref="S30:S31"/>
    <mergeCell ref="T30:U31"/>
    <mergeCell ref="V30:V31"/>
    <mergeCell ref="L32:L33"/>
    <mergeCell ref="M32:R33"/>
    <mergeCell ref="L22:L27"/>
    <mergeCell ref="M22:R27"/>
    <mergeCell ref="S22:S27"/>
    <mergeCell ref="T22:U27"/>
    <mergeCell ref="V22:V27"/>
    <mergeCell ref="W25:W27"/>
    <mergeCell ref="S32:S33"/>
    <mergeCell ref="T32:U33"/>
    <mergeCell ref="V32:V33"/>
    <mergeCell ref="L34:L35"/>
    <mergeCell ref="M34:R35"/>
    <mergeCell ref="S34:S35"/>
    <mergeCell ref="T34:U35"/>
    <mergeCell ref="V34:V35"/>
    <mergeCell ref="L28:V28"/>
    <mergeCell ref="M29:R29"/>
    <mergeCell ref="A40:N40"/>
    <mergeCell ref="O40:V40"/>
    <mergeCell ref="C41:D41"/>
    <mergeCell ref="E41:G41"/>
    <mergeCell ref="H41:J41"/>
    <mergeCell ref="K41:N41"/>
    <mergeCell ref="O41:R41"/>
    <mergeCell ref="M36:R36"/>
    <mergeCell ref="M37:R37"/>
    <mergeCell ref="M38:R38"/>
    <mergeCell ref="A39:B39"/>
    <mergeCell ref="F39:G39"/>
    <mergeCell ref="M39:R39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A52:V52"/>
    <mergeCell ref="A53:N53"/>
    <mergeCell ref="O53:V53"/>
    <mergeCell ref="A54:N58"/>
    <mergeCell ref="O54:V58"/>
    <mergeCell ref="C50:D50"/>
    <mergeCell ref="E50:G50"/>
    <mergeCell ref="H50:J50"/>
    <mergeCell ref="K50:N50"/>
    <mergeCell ref="O50:V50"/>
    <mergeCell ref="A51:V51"/>
  </mergeCells>
  <printOptions horizontalCentered="1" verticalCentered="1"/>
  <pageMargins left="0.15" right="0.15" top="0.5" bottom="0.8" header="0" footer="0"/>
  <pageSetup paperSize="9" scale="2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3009-3E52-4BEE-A0DF-CF364D1944CC}">
  <sheetPr>
    <pageSetUpPr fitToPage="1"/>
  </sheetPr>
  <dimension ref="A1:AH112"/>
  <sheetViews>
    <sheetView rightToLeft="1" view="pageBreakPreview" topLeftCell="F22" zoomScale="40" zoomScaleNormal="110" zoomScaleSheetLayoutView="40" workbookViewId="0">
      <selection activeCell="T19" sqref="T19:U21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9.140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16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169</v>
      </c>
      <c r="S1" s="297"/>
      <c r="T1" s="300" t="s">
        <v>170</v>
      </c>
      <c r="U1" s="300"/>
      <c r="V1" s="302" t="s">
        <v>171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303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303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142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16" t="s">
        <v>82</v>
      </c>
      <c r="W7" s="19"/>
    </row>
    <row r="8" spans="1:34" ht="51.9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17"/>
      <c r="W8" s="19"/>
      <c r="AA8" s="6"/>
      <c r="AB8" s="6"/>
      <c r="AC8" s="6"/>
      <c r="AD8" s="6"/>
      <c r="AE8" s="6"/>
    </row>
    <row r="9" spans="1:34" ht="51.9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>
        <v>1</v>
      </c>
      <c r="J9" s="71"/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349">
        <v>492480</v>
      </c>
      <c r="X9" s="5"/>
      <c r="Y9" s="5">
        <v>3000</v>
      </c>
      <c r="Z9" s="5"/>
    </row>
    <row r="10" spans="1:34" ht="51.9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>
        <v>1</v>
      </c>
      <c r="J10" s="71"/>
      <c r="K10" s="71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350"/>
      <c r="W10" s="19"/>
      <c r="AA10" s="6"/>
      <c r="AB10" s="6"/>
      <c r="AC10" s="6"/>
      <c r="AD10" s="6"/>
      <c r="AE10" s="6"/>
    </row>
    <row r="11" spans="1:34" ht="60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5</v>
      </c>
      <c r="J11" s="71">
        <v>1</v>
      </c>
      <c r="K11" s="71"/>
      <c r="L11" s="186">
        <v>2</v>
      </c>
      <c r="M11" s="390" t="s">
        <v>172</v>
      </c>
      <c r="N11" s="391"/>
      <c r="O11" s="391"/>
      <c r="P11" s="391"/>
      <c r="Q11" s="391"/>
      <c r="R11" s="392"/>
      <c r="S11" s="160" t="s">
        <v>57</v>
      </c>
      <c r="T11" s="360">
        <v>13420</v>
      </c>
      <c r="U11" s="361"/>
      <c r="V11" s="349">
        <v>199915</v>
      </c>
      <c r="W11" s="236">
        <f>V11+T11</f>
        <v>213335</v>
      </c>
      <c r="AA11" s="6"/>
      <c r="AB11" s="6"/>
      <c r="AC11" s="6"/>
      <c r="AD11" s="6"/>
      <c r="AE11" s="6"/>
    </row>
    <row r="12" spans="1:34" ht="60" customHeight="1">
      <c r="A12" s="33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36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33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72">
        <v>1</v>
      </c>
      <c r="I13" s="72">
        <v>1</v>
      </c>
      <c r="J13" s="72"/>
      <c r="K13" s="71"/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36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78.75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1</v>
      </c>
      <c r="J14" s="71"/>
      <c r="K14" s="71">
        <v>1</v>
      </c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350"/>
      <c r="W14" s="236"/>
    </row>
    <row r="15" spans="1:34" ht="51.95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79">
        <v>51330</v>
      </c>
      <c r="W15" s="39">
        <f>V15+T15</f>
        <v>51330</v>
      </c>
    </row>
    <row r="16" spans="1:34" ht="51.95" customHeight="1">
      <c r="A16" s="33">
        <v>10</v>
      </c>
      <c r="B16" s="67" t="s">
        <v>113</v>
      </c>
      <c r="C16" s="40">
        <v>1</v>
      </c>
      <c r="D16" s="40"/>
      <c r="E16" s="40">
        <v>1</v>
      </c>
      <c r="F16" s="40">
        <v>10</v>
      </c>
      <c r="G16" s="24" t="s">
        <v>70</v>
      </c>
      <c r="H16" s="71">
        <v>3</v>
      </c>
      <c r="I16" s="71">
        <v>2</v>
      </c>
      <c r="J16" s="71">
        <v>1</v>
      </c>
      <c r="K16" s="71"/>
      <c r="L16" s="40">
        <v>4</v>
      </c>
      <c r="M16" s="140" t="s">
        <v>116</v>
      </c>
      <c r="N16" s="141"/>
      <c r="O16" s="141"/>
      <c r="P16" s="141"/>
      <c r="Q16" s="141"/>
      <c r="R16" s="142"/>
      <c r="S16" s="35" t="s">
        <v>85</v>
      </c>
      <c r="T16" s="373">
        <v>0</v>
      </c>
      <c r="U16" s="374"/>
      <c r="V16" s="79">
        <v>43476</v>
      </c>
      <c r="W16" s="47">
        <f>V16+T16</f>
        <v>43476</v>
      </c>
    </row>
    <row r="17" spans="1:27" ht="51.95" customHeight="1">
      <c r="A17" s="33">
        <v>11</v>
      </c>
      <c r="B17" s="27" t="s">
        <v>21</v>
      </c>
      <c r="C17" s="40">
        <v>2</v>
      </c>
      <c r="D17" s="40">
        <v>1</v>
      </c>
      <c r="E17" s="40">
        <v>1</v>
      </c>
      <c r="F17" s="40">
        <v>11</v>
      </c>
      <c r="G17" s="27" t="s">
        <v>102</v>
      </c>
      <c r="H17" s="71">
        <v>2</v>
      </c>
      <c r="I17" s="71">
        <v>2</v>
      </c>
      <c r="J17" s="71"/>
      <c r="K17" s="71"/>
      <c r="L17" s="186">
        <v>5</v>
      </c>
      <c r="M17" s="230" t="s">
        <v>173</v>
      </c>
      <c r="N17" s="231"/>
      <c r="O17" s="231"/>
      <c r="P17" s="231"/>
      <c r="Q17" s="231"/>
      <c r="R17" s="232"/>
      <c r="S17" s="160" t="s">
        <v>85</v>
      </c>
      <c r="T17" s="367">
        <f>165*10</f>
        <v>1650</v>
      </c>
      <c r="U17" s="368"/>
      <c r="V17" s="349">
        <v>94206</v>
      </c>
      <c r="W17" s="47">
        <f>V17+T17</f>
        <v>95856</v>
      </c>
      <c r="X17">
        <v>1</v>
      </c>
      <c r="Z17" s="1"/>
    </row>
    <row r="18" spans="1:27" ht="108.75" customHeight="1">
      <c r="A18" s="33">
        <v>12</v>
      </c>
      <c r="B18" s="27" t="s">
        <v>105</v>
      </c>
      <c r="C18" s="40">
        <v>1</v>
      </c>
      <c r="D18" s="40"/>
      <c r="E18" s="40">
        <v>1</v>
      </c>
      <c r="F18" s="40">
        <v>12</v>
      </c>
      <c r="G18" s="27" t="s">
        <v>78</v>
      </c>
      <c r="H18" s="71">
        <v>5</v>
      </c>
      <c r="I18" s="71">
        <v>4</v>
      </c>
      <c r="J18" s="71">
        <v>1</v>
      </c>
      <c r="K18" s="71"/>
      <c r="L18" s="186"/>
      <c r="M18" s="233"/>
      <c r="N18" s="234"/>
      <c r="O18" s="234"/>
      <c r="P18" s="234"/>
      <c r="Q18" s="234"/>
      <c r="R18" s="235"/>
      <c r="S18" s="161"/>
      <c r="T18" s="371"/>
      <c r="U18" s="372"/>
      <c r="V18" s="350"/>
      <c r="W18" s="32"/>
      <c r="Z18" s="1"/>
    </row>
    <row r="19" spans="1:27" ht="51.95" customHeight="1">
      <c r="A19" s="33">
        <v>13</v>
      </c>
      <c r="B19" s="27" t="s">
        <v>117</v>
      </c>
      <c r="C19" s="40">
        <v>1</v>
      </c>
      <c r="D19" s="40"/>
      <c r="E19" s="40">
        <v>1</v>
      </c>
      <c r="F19" s="40">
        <v>13</v>
      </c>
      <c r="G19" s="27" t="s">
        <v>19</v>
      </c>
      <c r="H19" s="71">
        <v>2</v>
      </c>
      <c r="I19" s="71">
        <v>2</v>
      </c>
      <c r="J19" s="71"/>
      <c r="K19" s="71"/>
      <c r="L19" s="152">
        <v>6</v>
      </c>
      <c r="M19" s="212" t="s">
        <v>159</v>
      </c>
      <c r="N19" s="213"/>
      <c r="O19" s="213"/>
      <c r="P19" s="213"/>
      <c r="Q19" s="213"/>
      <c r="R19" s="214"/>
      <c r="S19" s="160" t="s">
        <v>85</v>
      </c>
      <c r="T19" s="367">
        <v>0</v>
      </c>
      <c r="U19" s="368"/>
      <c r="V19" s="349">
        <v>40481</v>
      </c>
      <c r="W19" s="32"/>
      <c r="Z19" s="1"/>
    </row>
    <row r="20" spans="1:27" ht="51.95" customHeight="1">
      <c r="A20" s="33">
        <v>14</v>
      </c>
      <c r="B20" s="31" t="s">
        <v>37</v>
      </c>
      <c r="C20" s="40">
        <v>1</v>
      </c>
      <c r="D20" s="40"/>
      <c r="E20" s="40">
        <v>1</v>
      </c>
      <c r="F20" s="40">
        <v>14</v>
      </c>
      <c r="G20" s="27" t="s">
        <v>59</v>
      </c>
      <c r="H20" s="71">
        <v>1</v>
      </c>
      <c r="I20" s="71"/>
      <c r="J20" s="71">
        <v>1</v>
      </c>
      <c r="K20" s="71"/>
      <c r="L20" s="187"/>
      <c r="M20" s="215"/>
      <c r="N20" s="216"/>
      <c r="O20" s="216"/>
      <c r="P20" s="216"/>
      <c r="Q20" s="216"/>
      <c r="R20" s="217"/>
      <c r="S20" s="221"/>
      <c r="T20" s="369"/>
      <c r="U20" s="370"/>
      <c r="V20" s="366"/>
      <c r="W20" s="47">
        <f>V19+T19</f>
        <v>40481</v>
      </c>
      <c r="Z20" s="1"/>
    </row>
    <row r="21" spans="1:27" ht="51.95" customHeight="1">
      <c r="A21" s="33">
        <v>15</v>
      </c>
      <c r="B21" s="14" t="s">
        <v>94</v>
      </c>
      <c r="C21" s="40">
        <v>1</v>
      </c>
      <c r="D21" s="40">
        <v>1</v>
      </c>
      <c r="E21" s="40"/>
      <c r="F21" s="40">
        <v>15</v>
      </c>
      <c r="G21" s="27" t="s">
        <v>92</v>
      </c>
      <c r="H21" s="71">
        <v>1</v>
      </c>
      <c r="I21" s="71">
        <v>1</v>
      </c>
      <c r="J21" s="73"/>
      <c r="K21" s="71"/>
      <c r="L21" s="187"/>
      <c r="M21" s="218"/>
      <c r="N21" s="219"/>
      <c r="O21" s="219"/>
      <c r="P21" s="219"/>
      <c r="Q21" s="219"/>
      <c r="R21" s="220"/>
      <c r="S21" s="161"/>
      <c r="T21" s="371"/>
      <c r="U21" s="372"/>
      <c r="V21" s="350"/>
      <c r="W21" s="32"/>
      <c r="Z21" s="1"/>
    </row>
    <row r="22" spans="1:27" ht="51.95" customHeight="1">
      <c r="A22" s="33">
        <v>16</v>
      </c>
      <c r="B22" s="27" t="s">
        <v>8</v>
      </c>
      <c r="C22" s="59">
        <v>12</v>
      </c>
      <c r="D22" s="40">
        <v>4</v>
      </c>
      <c r="E22" s="40">
        <v>8</v>
      </c>
      <c r="F22" s="40">
        <v>16</v>
      </c>
      <c r="G22" s="27" t="s">
        <v>7</v>
      </c>
      <c r="H22" s="71">
        <v>3</v>
      </c>
      <c r="I22" s="71">
        <v>3</v>
      </c>
      <c r="J22" s="71"/>
      <c r="K22" s="71"/>
      <c r="L22" s="152">
        <v>7</v>
      </c>
      <c r="M22" s="401" t="s">
        <v>166</v>
      </c>
      <c r="N22" s="402"/>
      <c r="O22" s="402"/>
      <c r="P22" s="402"/>
      <c r="Q22" s="402"/>
      <c r="R22" s="403"/>
      <c r="S22" s="197" t="s">
        <v>85</v>
      </c>
      <c r="T22" s="360">
        <v>0</v>
      </c>
      <c r="U22" s="361"/>
      <c r="V22" s="349">
        <v>30524</v>
      </c>
      <c r="Z22" s="1"/>
    </row>
    <row r="23" spans="1:27" ht="51.95" customHeight="1">
      <c r="A23" s="33">
        <v>17</v>
      </c>
      <c r="B23" s="27" t="s">
        <v>63</v>
      </c>
      <c r="C23" s="59">
        <v>14</v>
      </c>
      <c r="D23" s="40">
        <v>7</v>
      </c>
      <c r="E23" s="40">
        <v>7</v>
      </c>
      <c r="F23" s="40">
        <v>17</v>
      </c>
      <c r="G23" s="27" t="s">
        <v>14</v>
      </c>
      <c r="H23" s="71">
        <v>4</v>
      </c>
      <c r="I23" s="71">
        <v>3</v>
      </c>
      <c r="J23" s="71"/>
      <c r="K23" s="71">
        <v>1</v>
      </c>
      <c r="L23" s="187"/>
      <c r="M23" s="404"/>
      <c r="N23" s="405"/>
      <c r="O23" s="405"/>
      <c r="P23" s="405"/>
      <c r="Q23" s="405"/>
      <c r="R23" s="406"/>
      <c r="S23" s="198"/>
      <c r="T23" s="362"/>
      <c r="U23" s="363"/>
      <c r="V23" s="366"/>
      <c r="W23" s="32"/>
      <c r="Z23" s="1"/>
    </row>
    <row r="24" spans="1:27" ht="51.95" customHeight="1">
      <c r="A24" s="33">
        <v>18</v>
      </c>
      <c r="B24" s="27" t="s">
        <v>17</v>
      </c>
      <c r="C24" s="40">
        <v>7</v>
      </c>
      <c r="D24" s="40">
        <v>5</v>
      </c>
      <c r="E24" s="40">
        <v>2</v>
      </c>
      <c r="F24" s="40">
        <v>18</v>
      </c>
      <c r="G24" s="27" t="s">
        <v>15</v>
      </c>
      <c r="H24" s="71">
        <v>1</v>
      </c>
      <c r="I24" s="71">
        <v>1</v>
      </c>
      <c r="J24" s="71"/>
      <c r="K24" s="71"/>
      <c r="L24" s="187"/>
      <c r="M24" s="404"/>
      <c r="N24" s="405"/>
      <c r="O24" s="405"/>
      <c r="P24" s="405"/>
      <c r="Q24" s="405"/>
      <c r="R24" s="406"/>
      <c r="S24" s="198"/>
      <c r="T24" s="362"/>
      <c r="U24" s="363"/>
      <c r="V24" s="366"/>
      <c r="W24" s="32"/>
      <c r="Z24" s="1">
        <v>35734</v>
      </c>
      <c r="AA24">
        <f>Z24/Z25</f>
        <v>0.30193748996611719</v>
      </c>
    </row>
    <row r="25" spans="1:27" s="6" customFormat="1" ht="51.95" customHeight="1">
      <c r="A25" s="33">
        <v>19</v>
      </c>
      <c r="B25" s="27" t="s">
        <v>43</v>
      </c>
      <c r="C25" s="40">
        <v>1</v>
      </c>
      <c r="D25" s="40"/>
      <c r="E25" s="40">
        <v>1</v>
      </c>
      <c r="F25" s="40">
        <v>19</v>
      </c>
      <c r="G25" s="27" t="s">
        <v>40</v>
      </c>
      <c r="H25" s="71">
        <v>2</v>
      </c>
      <c r="I25" s="71">
        <v>2</v>
      </c>
      <c r="J25" s="71"/>
      <c r="K25" s="71"/>
      <c r="L25" s="187"/>
      <c r="M25" s="404"/>
      <c r="N25" s="405"/>
      <c r="O25" s="405"/>
      <c r="P25" s="405"/>
      <c r="Q25" s="405"/>
      <c r="R25" s="406"/>
      <c r="S25" s="198"/>
      <c r="T25" s="362"/>
      <c r="U25" s="363"/>
      <c r="V25" s="366"/>
      <c r="W25" s="209">
        <f>V22+T22</f>
        <v>30524</v>
      </c>
      <c r="Z25" s="34">
        <v>118349</v>
      </c>
    </row>
    <row r="26" spans="1:27" s="6" customFormat="1" ht="51.95" customHeight="1">
      <c r="A26" s="33">
        <v>20</v>
      </c>
      <c r="B26" s="27" t="s">
        <v>45</v>
      </c>
      <c r="C26" s="40">
        <v>2</v>
      </c>
      <c r="D26" s="40">
        <v>1</v>
      </c>
      <c r="E26" s="40">
        <v>1</v>
      </c>
      <c r="F26" s="40">
        <v>20</v>
      </c>
      <c r="G26" s="27" t="s">
        <v>53</v>
      </c>
      <c r="H26" s="71">
        <v>20</v>
      </c>
      <c r="I26" s="71">
        <v>20</v>
      </c>
      <c r="J26" s="71"/>
      <c r="K26" s="71"/>
      <c r="L26" s="187"/>
      <c r="M26" s="404"/>
      <c r="N26" s="405"/>
      <c r="O26" s="405"/>
      <c r="P26" s="405"/>
      <c r="Q26" s="405"/>
      <c r="R26" s="406"/>
      <c r="S26" s="198"/>
      <c r="T26" s="362"/>
      <c r="U26" s="363"/>
      <c r="V26" s="366"/>
      <c r="W26" s="209"/>
      <c r="Z26" s="34"/>
    </row>
    <row r="27" spans="1:27" s="6" customFormat="1" ht="51.95" customHeight="1">
      <c r="A27" s="33">
        <v>21</v>
      </c>
      <c r="B27" s="27" t="s">
        <v>58</v>
      </c>
      <c r="C27" s="40">
        <v>1</v>
      </c>
      <c r="D27" s="40">
        <v>1</v>
      </c>
      <c r="E27" s="40"/>
      <c r="F27" s="40">
        <v>21</v>
      </c>
      <c r="G27" s="27" t="s">
        <v>54</v>
      </c>
      <c r="H27" s="71">
        <v>5</v>
      </c>
      <c r="I27" s="71">
        <v>5</v>
      </c>
      <c r="J27" s="71"/>
      <c r="K27" s="71"/>
      <c r="L27" s="153"/>
      <c r="M27" s="407"/>
      <c r="N27" s="408"/>
      <c r="O27" s="408"/>
      <c r="P27" s="408"/>
      <c r="Q27" s="408"/>
      <c r="R27" s="409"/>
      <c r="S27" s="199"/>
      <c r="T27" s="364"/>
      <c r="U27" s="365"/>
      <c r="V27" s="350"/>
      <c r="W27" s="209"/>
      <c r="Z27" s="34"/>
    </row>
    <row r="28" spans="1:27" ht="51.95" customHeight="1">
      <c r="A28" s="33">
        <v>22</v>
      </c>
      <c r="B28" s="27" t="s">
        <v>101</v>
      </c>
      <c r="C28" s="40">
        <v>1</v>
      </c>
      <c r="D28" s="40">
        <v>1</v>
      </c>
      <c r="E28" s="40"/>
      <c r="F28" s="40">
        <v>22</v>
      </c>
      <c r="G28" s="27" t="s">
        <v>55</v>
      </c>
      <c r="H28" s="71">
        <v>6</v>
      </c>
      <c r="I28" s="71">
        <v>6</v>
      </c>
      <c r="J28" s="71"/>
      <c r="K28" s="71"/>
      <c r="L28" s="168" t="s">
        <v>104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70"/>
      <c r="W28" s="32"/>
      <c r="Z28" s="1"/>
    </row>
    <row r="29" spans="1:27" ht="51.95" customHeight="1">
      <c r="A29" s="33">
        <v>23</v>
      </c>
      <c r="B29" s="27" t="s">
        <v>44</v>
      </c>
      <c r="C29" s="40">
        <v>2</v>
      </c>
      <c r="D29" s="40">
        <v>2</v>
      </c>
      <c r="E29" s="40"/>
      <c r="F29" s="40">
        <v>23</v>
      </c>
      <c r="G29" s="27" t="s">
        <v>73</v>
      </c>
      <c r="H29" s="71">
        <v>1</v>
      </c>
      <c r="I29" s="71">
        <v>1</v>
      </c>
      <c r="J29" s="71"/>
      <c r="K29" s="71"/>
      <c r="L29" s="40">
        <v>1</v>
      </c>
      <c r="M29" s="171" t="s">
        <v>120</v>
      </c>
      <c r="N29" s="172"/>
      <c r="O29" s="172"/>
      <c r="P29" s="172"/>
      <c r="Q29" s="172"/>
      <c r="R29" s="173"/>
      <c r="S29" s="49"/>
      <c r="T29" s="50"/>
      <c r="U29" s="51"/>
      <c r="V29" s="54"/>
      <c r="W29" s="178"/>
      <c r="Z29" s="1"/>
    </row>
    <row r="30" spans="1:27" ht="51.95" customHeight="1">
      <c r="A30" s="33">
        <v>24</v>
      </c>
      <c r="B30" s="27" t="s">
        <v>103</v>
      </c>
      <c r="C30" s="40">
        <v>1</v>
      </c>
      <c r="D30" s="40"/>
      <c r="E30" s="40">
        <v>1</v>
      </c>
      <c r="F30" s="40">
        <v>24</v>
      </c>
      <c r="G30" s="27" t="s">
        <v>97</v>
      </c>
      <c r="H30" s="71">
        <v>2</v>
      </c>
      <c r="I30" s="71"/>
      <c r="J30" s="71"/>
      <c r="K30" s="71"/>
      <c r="L30" s="152">
        <v>2</v>
      </c>
      <c r="M30" s="180" t="s">
        <v>119</v>
      </c>
      <c r="N30" s="181"/>
      <c r="O30" s="181"/>
      <c r="P30" s="181"/>
      <c r="Q30" s="181"/>
      <c r="R30" s="182"/>
      <c r="S30" s="160"/>
      <c r="T30" s="162"/>
      <c r="U30" s="163"/>
      <c r="V30" s="166"/>
      <c r="W30" s="179"/>
      <c r="Z30" s="1"/>
    </row>
    <row r="31" spans="1:27" ht="51.95" customHeight="1">
      <c r="A31" s="33">
        <v>25</v>
      </c>
      <c r="B31" s="27" t="s">
        <v>60</v>
      </c>
      <c r="C31" s="40">
        <v>3</v>
      </c>
      <c r="D31" s="40">
        <v>2</v>
      </c>
      <c r="E31" s="40">
        <v>1</v>
      </c>
      <c r="F31" s="40"/>
      <c r="G31" s="27"/>
      <c r="H31" s="27"/>
      <c r="I31" s="27"/>
      <c r="J31" s="27"/>
      <c r="K31" s="27"/>
      <c r="L31" s="153"/>
      <c r="M31" s="183"/>
      <c r="N31" s="184"/>
      <c r="O31" s="184"/>
      <c r="P31" s="184"/>
      <c r="Q31" s="184"/>
      <c r="R31" s="185"/>
      <c r="S31" s="161"/>
      <c r="T31" s="164"/>
      <c r="U31" s="165"/>
      <c r="V31" s="167"/>
      <c r="W31" s="179"/>
      <c r="Z31" s="1"/>
    </row>
    <row r="32" spans="1:27" ht="51.95" customHeight="1">
      <c r="A32" s="33">
        <v>26</v>
      </c>
      <c r="B32" s="27" t="s">
        <v>65</v>
      </c>
      <c r="C32" s="40">
        <v>3</v>
      </c>
      <c r="D32" s="40">
        <v>1</v>
      </c>
      <c r="E32" s="40">
        <v>2</v>
      </c>
      <c r="F32" s="40"/>
      <c r="G32" s="27"/>
      <c r="H32" s="27"/>
      <c r="I32" s="27"/>
      <c r="J32" s="27"/>
      <c r="K32" s="27"/>
      <c r="L32" s="186">
        <v>3</v>
      </c>
      <c r="M32" s="180" t="s">
        <v>128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33">
        <v>27</v>
      </c>
      <c r="B33" s="27" t="s">
        <v>62</v>
      </c>
      <c r="C33" s="40">
        <v>9</v>
      </c>
      <c r="D33" s="40">
        <v>6</v>
      </c>
      <c r="E33" s="40">
        <v>3</v>
      </c>
      <c r="F33" s="40"/>
      <c r="G33" s="27"/>
      <c r="H33" s="27"/>
      <c r="I33" s="27"/>
      <c r="J33" s="27"/>
      <c r="K33" s="27"/>
      <c r="L33" s="186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33">
        <v>28</v>
      </c>
      <c r="B34" s="27" t="s">
        <v>36</v>
      </c>
      <c r="C34" s="40">
        <v>1</v>
      </c>
      <c r="D34" s="40"/>
      <c r="E34" s="40">
        <v>1</v>
      </c>
      <c r="F34" s="40"/>
      <c r="G34" s="27"/>
      <c r="H34" s="27"/>
      <c r="I34" s="27"/>
      <c r="J34" s="27"/>
      <c r="K34" s="27"/>
      <c r="L34" s="152">
        <v>4</v>
      </c>
      <c r="M34" s="384" t="s">
        <v>155</v>
      </c>
      <c r="N34" s="385"/>
      <c r="O34" s="385"/>
      <c r="P34" s="385"/>
      <c r="Q34" s="385"/>
      <c r="R34" s="386"/>
      <c r="S34" s="160"/>
      <c r="T34" s="162"/>
      <c r="U34" s="163"/>
      <c r="V34" s="166"/>
      <c r="W34" s="16"/>
      <c r="Z34" s="1"/>
    </row>
    <row r="35" spans="1:27" ht="51.95" customHeight="1">
      <c r="A35" s="33">
        <v>29</v>
      </c>
      <c r="B35" s="27" t="s">
        <v>93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3"/>
      <c r="M35" s="387"/>
      <c r="N35" s="388"/>
      <c r="O35" s="388"/>
      <c r="P35" s="388"/>
      <c r="Q35" s="388"/>
      <c r="R35" s="389"/>
      <c r="S35" s="161"/>
      <c r="T35" s="164"/>
      <c r="U35" s="165"/>
      <c r="V35" s="167"/>
      <c r="W35" s="16"/>
      <c r="Z35" s="1"/>
    </row>
    <row r="36" spans="1:27" ht="51.95" customHeight="1">
      <c r="A36" s="33">
        <v>30</v>
      </c>
      <c r="B36" s="27" t="s">
        <v>46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27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  <c r="Z36" s="1"/>
    </row>
    <row r="37" spans="1:27" ht="51.95" customHeight="1">
      <c r="A37" s="33">
        <v>31</v>
      </c>
      <c r="B37" s="27" t="s">
        <v>95</v>
      </c>
      <c r="C37" s="40">
        <v>8</v>
      </c>
      <c r="D37" s="40"/>
      <c r="E37" s="40">
        <v>8</v>
      </c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33">
        <v>32</v>
      </c>
      <c r="B38" s="70" t="s">
        <v>118</v>
      </c>
      <c r="C38" s="64">
        <v>4</v>
      </c>
      <c r="D38" s="64">
        <v>4</v>
      </c>
      <c r="E38" s="64"/>
      <c r="F38" s="64"/>
      <c r="G38" s="70"/>
      <c r="H38" s="70"/>
      <c r="I38" s="70"/>
      <c r="J38" s="70"/>
      <c r="K38" s="7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93</v>
      </c>
      <c r="D39" s="61">
        <f>SUM(D7:D38)</f>
        <v>52</v>
      </c>
      <c r="E39" s="61">
        <f>SUM(E7:E38)</f>
        <v>40</v>
      </c>
      <c r="F39" s="151" t="s">
        <v>9</v>
      </c>
      <c r="G39" s="151"/>
      <c r="H39" s="75">
        <f>SUM(H7:H37)</f>
        <v>73</v>
      </c>
      <c r="I39" s="60">
        <f>SUM(I7:I37)</f>
        <v>65</v>
      </c>
      <c r="J39" s="75">
        <f>SUM(J7:J37)</f>
        <v>4</v>
      </c>
      <c r="K39" s="75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48.5" customHeight="1">
      <c r="A42" s="13">
        <v>1</v>
      </c>
      <c r="B42" s="74" t="s">
        <v>135</v>
      </c>
      <c r="C42" s="134"/>
      <c r="D42" s="135"/>
      <c r="E42" s="109">
        <v>96</v>
      </c>
      <c r="F42" s="111"/>
      <c r="G42" s="110"/>
      <c r="H42" s="134">
        <v>0.5</v>
      </c>
      <c r="I42" s="136"/>
      <c r="J42" s="135"/>
      <c r="K42" s="134">
        <v>97.3</v>
      </c>
      <c r="L42" s="136"/>
      <c r="M42" s="136"/>
      <c r="N42" s="135"/>
      <c r="O42" s="137" t="s">
        <v>175</v>
      </c>
      <c r="P42" s="138"/>
      <c r="Q42" s="138"/>
      <c r="R42" s="139"/>
      <c r="S42" s="56" t="s">
        <v>176</v>
      </c>
      <c r="T42" s="56" t="s">
        <v>177</v>
      </c>
      <c r="U42" s="57" t="s">
        <v>178</v>
      </c>
      <c r="V42" s="58" t="s">
        <v>179</v>
      </c>
      <c r="W42" s="80">
        <f>K42+H42</f>
        <v>97.8</v>
      </c>
      <c r="Y42" s="8"/>
    </row>
    <row r="43" spans="1:27" ht="110.25" customHeight="1">
      <c r="A43" s="13">
        <v>2</v>
      </c>
      <c r="B43" s="74" t="s">
        <v>136</v>
      </c>
      <c r="C43" s="117"/>
      <c r="D43" s="118"/>
      <c r="E43" s="109">
        <v>2527</v>
      </c>
      <c r="F43" s="111"/>
      <c r="G43" s="110"/>
      <c r="H43" s="134">
        <v>2</v>
      </c>
      <c r="I43" s="136"/>
      <c r="J43" s="135"/>
      <c r="K43" s="134">
        <v>677.9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80">
        <f t="shared" ref="W43:W50" si="2">K43+H43</f>
        <v>679.9</v>
      </c>
      <c r="X43" s="2"/>
      <c r="Y43" s="7"/>
      <c r="Z43" s="7"/>
      <c r="AA43" s="9"/>
    </row>
    <row r="44" spans="1:27" ht="90.75" customHeight="1">
      <c r="A44" s="13">
        <v>3</v>
      </c>
      <c r="B44" s="74" t="s">
        <v>80</v>
      </c>
      <c r="C44" s="122"/>
      <c r="D44" s="123"/>
      <c r="E44" s="109">
        <v>118000</v>
      </c>
      <c r="F44" s="111"/>
      <c r="G44" s="110"/>
      <c r="H44" s="109">
        <v>880</v>
      </c>
      <c r="I44" s="111"/>
      <c r="J44" s="110"/>
      <c r="K44" s="109">
        <v>119346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120226</v>
      </c>
      <c r="X44" s="2"/>
      <c r="Y44" s="7"/>
      <c r="Z44" s="7"/>
      <c r="AA44" s="9"/>
    </row>
    <row r="45" spans="1:27" ht="65.099999999999994" customHeight="1">
      <c r="A45" s="13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/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13">
        <v>5</v>
      </c>
      <c r="B46" s="74" t="s">
        <v>114</v>
      </c>
      <c r="C46" s="122">
        <v>11</v>
      </c>
      <c r="D46" s="123"/>
      <c r="E46" s="109">
        <f>1184+11</f>
        <v>1195</v>
      </c>
      <c r="F46" s="111"/>
      <c r="G46" s="110"/>
      <c r="H46" s="109">
        <v>10</v>
      </c>
      <c r="I46" s="111"/>
      <c r="J46" s="110"/>
      <c r="K46" s="109">
        <v>1194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1204</v>
      </c>
      <c r="X46" s="2"/>
      <c r="Y46" s="7"/>
      <c r="Z46" s="7"/>
      <c r="AA46" s="9"/>
    </row>
    <row r="47" spans="1:27" ht="65.099999999999994" customHeight="1">
      <c r="A47" s="13">
        <v>6</v>
      </c>
      <c r="B47" s="74" t="s">
        <v>115</v>
      </c>
      <c r="C47" s="122">
        <v>77</v>
      </c>
      <c r="D47" s="123"/>
      <c r="E47" s="109">
        <f>6978+77</f>
        <v>7055</v>
      </c>
      <c r="F47" s="111"/>
      <c r="G47" s="110"/>
      <c r="H47" s="109">
        <v>77</v>
      </c>
      <c r="I47" s="111"/>
      <c r="J47" s="110"/>
      <c r="K47" s="109">
        <v>7055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7132</v>
      </c>
      <c r="X47" s="2"/>
      <c r="Y47" s="7"/>
      <c r="Z47" s="7"/>
      <c r="AA47" s="9"/>
    </row>
    <row r="48" spans="1:27" ht="65.099999999999994" customHeight="1">
      <c r="A48" s="13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/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13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/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13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/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65.099999999999994" customHeight="1">
      <c r="A51" s="13">
        <v>10</v>
      </c>
      <c r="B51" s="74" t="s">
        <v>174</v>
      </c>
      <c r="C51" s="109">
        <v>127</v>
      </c>
      <c r="D51" s="110"/>
      <c r="E51" s="109">
        <v>127</v>
      </c>
      <c r="F51" s="111"/>
      <c r="G51" s="110"/>
      <c r="H51" s="109">
        <v>0</v>
      </c>
      <c r="I51" s="111"/>
      <c r="J51" s="110"/>
      <c r="K51" s="109">
        <v>0</v>
      </c>
      <c r="L51" s="111"/>
      <c r="M51" s="111"/>
      <c r="N51" s="110"/>
      <c r="O51" s="399"/>
      <c r="P51" s="399"/>
      <c r="Q51" s="399"/>
      <c r="R51" s="399"/>
      <c r="S51" s="399"/>
      <c r="T51" s="399"/>
      <c r="U51" s="399"/>
      <c r="V51" s="400"/>
      <c r="W51" s="22"/>
      <c r="X51" s="2"/>
      <c r="Y51" s="7"/>
      <c r="Z51" s="7"/>
      <c r="AA51" s="9"/>
    </row>
    <row r="52" spans="1:27" ht="36.75" customHeight="1">
      <c r="A52" s="114" t="s">
        <v>90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6"/>
      <c r="W52" s="21"/>
      <c r="X52" s="2"/>
      <c r="Y52" s="7">
        <f>14050+100</f>
        <v>14150</v>
      </c>
      <c r="Z52" s="7"/>
      <c r="AA52" s="9"/>
    </row>
    <row r="53" spans="1:27" s="44" customFormat="1" ht="54" customHeight="1">
      <c r="A53" s="93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5"/>
      <c r="W53" s="41"/>
      <c r="X53" s="42"/>
      <c r="Y53" s="42"/>
      <c r="Z53" s="42"/>
      <c r="AA53" s="43"/>
    </row>
    <row r="54" spans="1:27" ht="42.75" customHeight="1">
      <c r="A54" s="96" t="s">
        <v>88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8"/>
      <c r="O54" s="99" t="s">
        <v>18</v>
      </c>
      <c r="P54" s="99"/>
      <c r="Q54" s="99"/>
      <c r="R54" s="99"/>
      <c r="S54" s="99"/>
      <c r="T54" s="99"/>
      <c r="U54" s="99"/>
      <c r="V54" s="100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5" t="s">
        <v>67</v>
      </c>
      <c r="P55" s="105"/>
      <c r="Q55" s="105"/>
      <c r="R55" s="105"/>
      <c r="S55" s="105"/>
      <c r="T55" s="105"/>
      <c r="U55" s="105"/>
      <c r="V55" s="106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/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>
      <c r="A58" s="10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5"/>
      <c r="P58" s="105"/>
      <c r="Q58" s="105"/>
      <c r="R58" s="105"/>
      <c r="S58" s="105"/>
      <c r="T58" s="105"/>
      <c r="U58" s="105"/>
      <c r="V58" s="106"/>
    </row>
    <row r="59" spans="1:27" ht="45" customHeight="1" thickBot="1">
      <c r="A59" s="103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7"/>
      <c r="P59" s="107"/>
      <c r="Q59" s="107"/>
      <c r="R59" s="107"/>
      <c r="S59" s="107"/>
      <c r="T59" s="107"/>
      <c r="U59" s="107"/>
      <c r="V59" s="108"/>
    </row>
    <row r="62" spans="1:27">
      <c r="S62" s="28"/>
      <c r="T62" s="28"/>
      <c r="U62" s="28"/>
    </row>
    <row r="63" spans="1:27">
      <c r="G63" s="12" t="s">
        <v>58</v>
      </c>
      <c r="H63" s="24">
        <v>1</v>
      </c>
      <c r="I63" s="24"/>
      <c r="J63" s="24">
        <v>1</v>
      </c>
      <c r="S63" s="28"/>
      <c r="T63" s="28">
        <v>17</v>
      </c>
      <c r="U63" s="29"/>
    </row>
    <row r="64" spans="1:27">
      <c r="G64" s="12" t="s">
        <v>103</v>
      </c>
      <c r="H64" s="24">
        <v>1</v>
      </c>
      <c r="I64" s="24">
        <v>1</v>
      </c>
      <c r="J64" s="24"/>
      <c r="S64" s="28"/>
      <c r="T64" s="28">
        <v>17</v>
      </c>
      <c r="U64" s="30"/>
    </row>
    <row r="65" spans="1:31">
      <c r="G65" s="12" t="s">
        <v>44</v>
      </c>
      <c r="H65" s="24">
        <v>2</v>
      </c>
      <c r="I65" s="24">
        <v>2</v>
      </c>
      <c r="J65" s="24"/>
      <c r="S65" s="28"/>
      <c r="T65" s="28">
        <v>17</v>
      </c>
      <c r="U65" s="28"/>
    </row>
    <row r="66" spans="1:31">
      <c r="G66" s="12" t="s">
        <v>8</v>
      </c>
      <c r="H66" s="24">
        <v>8</v>
      </c>
      <c r="I66" s="24">
        <v>8</v>
      </c>
      <c r="J66" s="24"/>
      <c r="T66" s="3">
        <v>17</v>
      </c>
    </row>
    <row r="67" spans="1:31">
      <c r="G67" s="12" t="s">
        <v>101</v>
      </c>
      <c r="H67" s="24">
        <v>1</v>
      </c>
      <c r="I67" s="24">
        <v>1</v>
      </c>
      <c r="J67" s="24"/>
      <c r="T67" s="3">
        <v>19</v>
      </c>
    </row>
    <row r="68" spans="1:31">
      <c r="G68" s="12" t="s">
        <v>63</v>
      </c>
      <c r="H68" s="24">
        <v>8</v>
      </c>
      <c r="I68" s="24">
        <v>7</v>
      </c>
      <c r="J68" s="24">
        <v>1</v>
      </c>
      <c r="T68" s="3">
        <v>20</v>
      </c>
    </row>
    <row r="69" spans="1:31">
      <c r="G69" s="12" t="s">
        <v>17</v>
      </c>
      <c r="H69" s="24">
        <v>7</v>
      </c>
      <c r="I69" s="24">
        <v>6</v>
      </c>
      <c r="J69" s="24">
        <v>1</v>
      </c>
      <c r="T69" s="3">
        <v>21</v>
      </c>
    </row>
    <row r="70" spans="1:31">
      <c r="G70" s="12" t="s">
        <v>65</v>
      </c>
      <c r="H70" s="24">
        <v>2</v>
      </c>
      <c r="I70" s="24">
        <v>2</v>
      </c>
      <c r="J70" s="24"/>
      <c r="T70" s="3">
        <v>18</v>
      </c>
    </row>
    <row r="71" spans="1:31">
      <c r="G71" s="12" t="s">
        <v>62</v>
      </c>
      <c r="H71" s="24">
        <v>7</v>
      </c>
      <c r="I71" s="24">
        <v>6</v>
      </c>
      <c r="J71" s="24">
        <v>1</v>
      </c>
      <c r="T71" s="3">
        <v>18.600000000000001</v>
      </c>
    </row>
    <row r="72" spans="1:31" s="3" customFormat="1">
      <c r="A72"/>
      <c r="B72" s="15"/>
      <c r="G72" s="12" t="s">
        <v>36</v>
      </c>
      <c r="H72" s="24">
        <f>J73+I72</f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43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45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93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46</v>
      </c>
      <c r="H76" s="24">
        <v>1</v>
      </c>
      <c r="I76" s="24">
        <v>1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60</v>
      </c>
      <c r="H77" s="24">
        <v>4</v>
      </c>
      <c r="I77" s="24">
        <v>4</v>
      </c>
      <c r="J77" s="2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48</v>
      </c>
      <c r="H78" s="24">
        <v>1</v>
      </c>
      <c r="I78" s="24"/>
      <c r="J78" s="24">
        <v>1</v>
      </c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G79" s="12" t="s">
        <v>95</v>
      </c>
      <c r="H79" s="24">
        <v>6</v>
      </c>
      <c r="I79" s="24">
        <v>6</v>
      </c>
      <c r="J79" s="2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24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22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19</v>
      </c>
      <c r="W111" s="20"/>
      <c r="X111"/>
      <c r="Y111"/>
      <c r="Z111"/>
      <c r="AA111"/>
      <c r="AB111"/>
      <c r="AC111"/>
      <c r="AD111"/>
      <c r="AE111"/>
    </row>
    <row r="112" spans="1:31" s="3" customFormat="1">
      <c r="A112"/>
      <c r="B112" s="15"/>
      <c r="J112" s="4"/>
      <c r="N112" s="3">
        <v>22</v>
      </c>
      <c r="W112" s="20"/>
      <c r="X112"/>
      <c r="Y112"/>
      <c r="Z112"/>
      <c r="AA112"/>
      <c r="AB112"/>
      <c r="AC112"/>
      <c r="AD112"/>
      <c r="AE112"/>
    </row>
  </sheetData>
  <autoFilter ref="A6:AE52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53:V53"/>
    <mergeCell ref="A54:N54"/>
    <mergeCell ref="O54:V54"/>
    <mergeCell ref="A55:N59"/>
    <mergeCell ref="O55:V59"/>
    <mergeCell ref="C51:D51"/>
    <mergeCell ref="E51:G51"/>
    <mergeCell ref="H51:J51"/>
    <mergeCell ref="K51:N51"/>
    <mergeCell ref="O51:V51"/>
    <mergeCell ref="C50:D50"/>
    <mergeCell ref="E50:G50"/>
    <mergeCell ref="H50:J50"/>
    <mergeCell ref="K50:N50"/>
    <mergeCell ref="O50:V50"/>
    <mergeCell ref="A52:V52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1:D41"/>
    <mergeCell ref="E41:G41"/>
    <mergeCell ref="H41:J41"/>
    <mergeCell ref="K41:N41"/>
    <mergeCell ref="O41:R41"/>
    <mergeCell ref="M36:R36"/>
    <mergeCell ref="M37:R37"/>
    <mergeCell ref="M38:R38"/>
    <mergeCell ref="A39:B39"/>
    <mergeCell ref="F39:G39"/>
    <mergeCell ref="M39:R39"/>
    <mergeCell ref="L34:L35"/>
    <mergeCell ref="M34:R35"/>
    <mergeCell ref="S34:S35"/>
    <mergeCell ref="T34:U35"/>
    <mergeCell ref="V34:V35"/>
    <mergeCell ref="L28:V28"/>
    <mergeCell ref="M29:R29"/>
    <mergeCell ref="A40:N40"/>
    <mergeCell ref="O40:V40"/>
    <mergeCell ref="W29:W33"/>
    <mergeCell ref="L30:L31"/>
    <mergeCell ref="M30:R31"/>
    <mergeCell ref="S30:S31"/>
    <mergeCell ref="T30:U31"/>
    <mergeCell ref="V30:V31"/>
    <mergeCell ref="L32:L33"/>
    <mergeCell ref="M32:R33"/>
    <mergeCell ref="L22:L27"/>
    <mergeCell ref="M22:R27"/>
    <mergeCell ref="S22:S27"/>
    <mergeCell ref="T22:U27"/>
    <mergeCell ref="V22:V27"/>
    <mergeCell ref="W25:W27"/>
    <mergeCell ref="S32:S33"/>
    <mergeCell ref="T32:U33"/>
    <mergeCell ref="V32:V33"/>
    <mergeCell ref="V17:V18"/>
    <mergeCell ref="L19:L21"/>
    <mergeCell ref="M19:R21"/>
    <mergeCell ref="S19:S21"/>
    <mergeCell ref="T19:U21"/>
    <mergeCell ref="V19:V21"/>
    <mergeCell ref="M16:R16"/>
    <mergeCell ref="T16:U16"/>
    <mergeCell ref="L17:L18"/>
    <mergeCell ref="M17:R18"/>
    <mergeCell ref="S17:S18"/>
    <mergeCell ref="T17:U1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</mergeCells>
  <printOptions horizontalCentered="1" verticalCentered="1"/>
  <pageMargins left="0.15" right="0.15" top="0.5" bottom="0.8" header="0" footer="0"/>
  <pageSetup paperSize="5" scale="2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E210-23E4-4095-8F93-4705F3F5FF04}">
  <sheetPr>
    <pageSetUpPr fitToPage="1"/>
  </sheetPr>
  <dimension ref="A1:AH112"/>
  <sheetViews>
    <sheetView rightToLeft="1" view="pageBreakPreview" zoomScale="25" zoomScaleNormal="110" zoomScaleSheetLayoutView="25" workbookViewId="0">
      <selection activeCell="M11" sqref="M11:R14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181</v>
      </c>
      <c r="S1" s="297"/>
      <c r="T1" s="300" t="s">
        <v>180</v>
      </c>
      <c r="U1" s="300"/>
      <c r="V1" s="302" t="s">
        <v>182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303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303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148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16" t="s">
        <v>82</v>
      </c>
      <c r="W7" s="19"/>
    </row>
    <row r="8" spans="1:34" ht="51.9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17"/>
      <c r="W8" s="19"/>
      <c r="AA8" s="6"/>
      <c r="AB8" s="6"/>
      <c r="AC8" s="6"/>
      <c r="AD8" s="6"/>
      <c r="AE8" s="6"/>
    </row>
    <row r="9" spans="1:34" ht="51.9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>
        <v>1</v>
      </c>
      <c r="J9" s="71"/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349">
        <v>492480</v>
      </c>
      <c r="X9" s="5"/>
      <c r="Y9" s="5">
        <v>3000</v>
      </c>
      <c r="Z9" s="5"/>
    </row>
    <row r="10" spans="1:34" ht="51.9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>
        <v>1</v>
      </c>
      <c r="J10" s="71"/>
      <c r="K10" s="71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350"/>
      <c r="W10" s="19"/>
      <c r="AA10" s="6"/>
      <c r="AB10" s="6"/>
      <c r="AC10" s="6"/>
      <c r="AD10" s="6"/>
      <c r="AE10" s="6"/>
    </row>
    <row r="11" spans="1:34" ht="60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5</v>
      </c>
      <c r="J11" s="71">
        <v>1</v>
      </c>
      <c r="K11" s="71"/>
      <c r="L11" s="186">
        <v>2</v>
      </c>
      <c r="M11" s="390" t="s">
        <v>183</v>
      </c>
      <c r="N11" s="391"/>
      <c r="O11" s="391"/>
      <c r="P11" s="391"/>
      <c r="Q11" s="391"/>
      <c r="R11" s="392"/>
      <c r="S11" s="160" t="s">
        <v>57</v>
      </c>
      <c r="T11" s="360">
        <f>560*20</f>
        <v>11200</v>
      </c>
      <c r="U11" s="361"/>
      <c r="V11" s="349">
        <v>211115</v>
      </c>
      <c r="W11" s="236">
        <f>V11+T11</f>
        <v>222315</v>
      </c>
      <c r="AA11" s="6"/>
      <c r="AB11" s="6"/>
      <c r="AC11" s="6"/>
      <c r="AD11" s="6"/>
      <c r="AE11" s="6"/>
    </row>
    <row r="12" spans="1:34" ht="60" customHeight="1">
      <c r="A12" s="33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36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33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72">
        <v>1</v>
      </c>
      <c r="I13" s="72">
        <v>1</v>
      </c>
      <c r="J13" s="72"/>
      <c r="K13" s="71"/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36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1</v>
      </c>
      <c r="J14" s="71"/>
      <c r="K14" s="71">
        <v>1</v>
      </c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350"/>
      <c r="W14" s="236"/>
    </row>
    <row r="15" spans="1:34" ht="51.95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79">
        <v>51330</v>
      </c>
      <c r="W15" s="39">
        <f>V15+T15</f>
        <v>51330</v>
      </c>
    </row>
    <row r="16" spans="1:34" ht="51.95" customHeight="1">
      <c r="A16" s="33">
        <v>10</v>
      </c>
      <c r="B16" s="67" t="s">
        <v>113</v>
      </c>
      <c r="C16" s="40">
        <v>1</v>
      </c>
      <c r="D16" s="40"/>
      <c r="E16" s="40">
        <v>1</v>
      </c>
      <c r="F16" s="40">
        <v>10</v>
      </c>
      <c r="G16" s="24" t="s">
        <v>70</v>
      </c>
      <c r="H16" s="71">
        <v>3</v>
      </c>
      <c r="I16" s="71">
        <v>2</v>
      </c>
      <c r="J16" s="71">
        <v>1</v>
      </c>
      <c r="K16" s="71"/>
      <c r="L16" s="40">
        <v>4</v>
      </c>
      <c r="M16" s="140" t="s">
        <v>116</v>
      </c>
      <c r="N16" s="141"/>
      <c r="O16" s="141"/>
      <c r="P16" s="141"/>
      <c r="Q16" s="141"/>
      <c r="R16" s="142"/>
      <c r="S16" s="35" t="s">
        <v>85</v>
      </c>
      <c r="T16" s="373">
        <v>0</v>
      </c>
      <c r="U16" s="374"/>
      <c r="V16" s="79">
        <v>43476</v>
      </c>
      <c r="W16" s="47">
        <f>V16+T16</f>
        <v>43476</v>
      </c>
    </row>
    <row r="17" spans="1:27" ht="51.95" customHeight="1">
      <c r="A17" s="33">
        <v>11</v>
      </c>
      <c r="B17" s="27" t="s">
        <v>21</v>
      </c>
      <c r="C17" s="40">
        <v>2</v>
      </c>
      <c r="D17" s="40">
        <v>1</v>
      </c>
      <c r="E17" s="40">
        <v>1</v>
      </c>
      <c r="F17" s="40">
        <v>11</v>
      </c>
      <c r="G17" s="27" t="s">
        <v>102</v>
      </c>
      <c r="H17" s="71">
        <v>2</v>
      </c>
      <c r="I17" s="71">
        <v>2</v>
      </c>
      <c r="J17" s="71"/>
      <c r="K17" s="71"/>
      <c r="L17" s="186">
        <v>5</v>
      </c>
      <c r="M17" s="230" t="s">
        <v>184</v>
      </c>
      <c r="N17" s="231"/>
      <c r="O17" s="231"/>
      <c r="P17" s="231"/>
      <c r="Q17" s="231"/>
      <c r="R17" s="232"/>
      <c r="S17" s="160" t="s">
        <v>85</v>
      </c>
      <c r="T17" s="367">
        <f>138*10</f>
        <v>1380</v>
      </c>
      <c r="U17" s="368"/>
      <c r="V17" s="349">
        <v>95586</v>
      </c>
      <c r="W17" s="47">
        <f>V17+T17</f>
        <v>96966</v>
      </c>
      <c r="X17">
        <v>1</v>
      </c>
      <c r="Z17" s="1"/>
    </row>
    <row r="18" spans="1:27" ht="108.75" customHeight="1">
      <c r="A18" s="33">
        <v>12</v>
      </c>
      <c r="B18" s="27" t="s">
        <v>105</v>
      </c>
      <c r="C18" s="40">
        <v>1</v>
      </c>
      <c r="D18" s="40"/>
      <c r="E18" s="40">
        <v>1</v>
      </c>
      <c r="F18" s="40">
        <v>12</v>
      </c>
      <c r="G18" s="27" t="s">
        <v>78</v>
      </c>
      <c r="H18" s="71">
        <v>5</v>
      </c>
      <c r="I18" s="71">
        <v>4</v>
      </c>
      <c r="J18" s="71">
        <v>1</v>
      </c>
      <c r="K18" s="71"/>
      <c r="L18" s="186"/>
      <c r="M18" s="233"/>
      <c r="N18" s="234"/>
      <c r="O18" s="234"/>
      <c r="P18" s="234"/>
      <c r="Q18" s="234"/>
      <c r="R18" s="235"/>
      <c r="S18" s="161"/>
      <c r="T18" s="371"/>
      <c r="U18" s="372"/>
      <c r="V18" s="350"/>
      <c r="W18" s="32"/>
      <c r="Z18" s="1"/>
    </row>
    <row r="19" spans="1:27" ht="51.95" customHeight="1">
      <c r="A19" s="33">
        <v>13</v>
      </c>
      <c r="B19" s="27" t="s">
        <v>117</v>
      </c>
      <c r="C19" s="40">
        <v>1</v>
      </c>
      <c r="D19" s="40"/>
      <c r="E19" s="40">
        <v>1</v>
      </c>
      <c r="F19" s="40">
        <v>13</v>
      </c>
      <c r="G19" s="27" t="s">
        <v>19</v>
      </c>
      <c r="H19" s="71">
        <v>2</v>
      </c>
      <c r="I19" s="71">
        <v>2</v>
      </c>
      <c r="J19" s="71"/>
      <c r="K19" s="71"/>
      <c r="L19" s="152">
        <v>6</v>
      </c>
      <c r="M19" s="212" t="s">
        <v>159</v>
      </c>
      <c r="N19" s="213"/>
      <c r="O19" s="213"/>
      <c r="P19" s="213"/>
      <c r="Q19" s="213"/>
      <c r="R19" s="214"/>
      <c r="S19" s="160" t="s">
        <v>85</v>
      </c>
      <c r="T19" s="367">
        <v>0</v>
      </c>
      <c r="U19" s="368"/>
      <c r="V19" s="349">
        <v>40481</v>
      </c>
      <c r="W19" s="32"/>
      <c r="Z19" s="1"/>
    </row>
    <row r="20" spans="1:27" ht="51.95" customHeight="1">
      <c r="A20" s="33">
        <v>14</v>
      </c>
      <c r="B20" s="31" t="s">
        <v>37</v>
      </c>
      <c r="C20" s="40">
        <v>1</v>
      </c>
      <c r="D20" s="40"/>
      <c r="E20" s="40">
        <v>1</v>
      </c>
      <c r="F20" s="40">
        <v>14</v>
      </c>
      <c r="G20" s="27" t="s">
        <v>59</v>
      </c>
      <c r="H20" s="71">
        <v>1</v>
      </c>
      <c r="I20" s="71"/>
      <c r="J20" s="71">
        <v>1</v>
      </c>
      <c r="K20" s="71"/>
      <c r="L20" s="187"/>
      <c r="M20" s="215"/>
      <c r="N20" s="216"/>
      <c r="O20" s="216"/>
      <c r="P20" s="216"/>
      <c r="Q20" s="216"/>
      <c r="R20" s="217"/>
      <c r="S20" s="221"/>
      <c r="T20" s="369"/>
      <c r="U20" s="370"/>
      <c r="V20" s="366"/>
      <c r="W20" s="47">
        <f>V19+T19</f>
        <v>40481</v>
      </c>
      <c r="Z20" s="1"/>
    </row>
    <row r="21" spans="1:27" ht="51.95" customHeight="1">
      <c r="A21" s="33">
        <v>15</v>
      </c>
      <c r="B21" s="14" t="s">
        <v>94</v>
      </c>
      <c r="C21" s="40">
        <v>1</v>
      </c>
      <c r="D21" s="40">
        <v>1</v>
      </c>
      <c r="E21" s="40"/>
      <c r="F21" s="40">
        <v>15</v>
      </c>
      <c r="G21" s="27" t="s">
        <v>92</v>
      </c>
      <c r="H21" s="71">
        <v>1</v>
      </c>
      <c r="I21" s="71">
        <v>1</v>
      </c>
      <c r="J21" s="73"/>
      <c r="K21" s="71"/>
      <c r="L21" s="187"/>
      <c r="M21" s="218"/>
      <c r="N21" s="219"/>
      <c r="O21" s="219"/>
      <c r="P21" s="219"/>
      <c r="Q21" s="219"/>
      <c r="R21" s="220"/>
      <c r="S21" s="161"/>
      <c r="T21" s="371"/>
      <c r="U21" s="372"/>
      <c r="V21" s="350"/>
      <c r="W21" s="32"/>
      <c r="Z21" s="1"/>
    </row>
    <row r="22" spans="1:27" ht="51.95" customHeight="1">
      <c r="A22" s="33">
        <v>16</v>
      </c>
      <c r="B22" s="27" t="s">
        <v>8</v>
      </c>
      <c r="C22" s="59">
        <v>12</v>
      </c>
      <c r="D22" s="40">
        <v>4</v>
      </c>
      <c r="E22" s="40">
        <v>8</v>
      </c>
      <c r="F22" s="40">
        <v>16</v>
      </c>
      <c r="G22" s="27" t="s">
        <v>7</v>
      </c>
      <c r="H22" s="71">
        <v>3</v>
      </c>
      <c r="I22" s="71">
        <v>3</v>
      </c>
      <c r="J22" s="71"/>
      <c r="K22" s="71"/>
      <c r="L22" s="152">
        <v>7</v>
      </c>
      <c r="M22" s="401" t="s">
        <v>166</v>
      </c>
      <c r="N22" s="402"/>
      <c r="O22" s="402"/>
      <c r="P22" s="402"/>
      <c r="Q22" s="402"/>
      <c r="R22" s="403"/>
      <c r="S22" s="197" t="s">
        <v>85</v>
      </c>
      <c r="T22" s="360">
        <v>0</v>
      </c>
      <c r="U22" s="361"/>
      <c r="V22" s="349">
        <v>30524</v>
      </c>
      <c r="Z22" s="1"/>
    </row>
    <row r="23" spans="1:27" ht="51.95" customHeight="1">
      <c r="A23" s="33">
        <v>17</v>
      </c>
      <c r="B23" s="27" t="s">
        <v>63</v>
      </c>
      <c r="C23" s="59">
        <v>14</v>
      </c>
      <c r="D23" s="40">
        <v>7</v>
      </c>
      <c r="E23" s="40">
        <v>7</v>
      </c>
      <c r="F23" s="40">
        <v>17</v>
      </c>
      <c r="G23" s="27" t="s">
        <v>14</v>
      </c>
      <c r="H23" s="71">
        <v>4</v>
      </c>
      <c r="I23" s="71">
        <v>3</v>
      </c>
      <c r="J23" s="71"/>
      <c r="K23" s="71">
        <v>1</v>
      </c>
      <c r="L23" s="187"/>
      <c r="M23" s="404"/>
      <c r="N23" s="405"/>
      <c r="O23" s="405"/>
      <c r="P23" s="405"/>
      <c r="Q23" s="405"/>
      <c r="R23" s="406"/>
      <c r="S23" s="198"/>
      <c r="T23" s="362"/>
      <c r="U23" s="363"/>
      <c r="V23" s="366"/>
      <c r="W23" s="32"/>
      <c r="Z23" s="1"/>
    </row>
    <row r="24" spans="1:27" ht="51.95" customHeight="1">
      <c r="A24" s="33">
        <v>18</v>
      </c>
      <c r="B24" s="27" t="s">
        <v>17</v>
      </c>
      <c r="C24" s="40">
        <v>7</v>
      </c>
      <c r="D24" s="40">
        <v>5</v>
      </c>
      <c r="E24" s="40">
        <v>2</v>
      </c>
      <c r="F24" s="40">
        <v>18</v>
      </c>
      <c r="G24" s="27" t="s">
        <v>15</v>
      </c>
      <c r="H24" s="71">
        <v>1</v>
      </c>
      <c r="I24" s="71">
        <v>1</v>
      </c>
      <c r="J24" s="71"/>
      <c r="K24" s="71"/>
      <c r="L24" s="187"/>
      <c r="M24" s="404"/>
      <c r="N24" s="405"/>
      <c r="O24" s="405"/>
      <c r="P24" s="405"/>
      <c r="Q24" s="405"/>
      <c r="R24" s="406"/>
      <c r="S24" s="198"/>
      <c r="T24" s="362"/>
      <c r="U24" s="363"/>
      <c r="V24" s="366"/>
      <c r="W24" s="32"/>
      <c r="Z24" s="1">
        <v>35734</v>
      </c>
      <c r="AA24">
        <f>Z24/Z25</f>
        <v>0.30193748996611719</v>
      </c>
    </row>
    <row r="25" spans="1:27" s="6" customFormat="1" ht="51.95" customHeight="1">
      <c r="A25" s="33">
        <v>19</v>
      </c>
      <c r="B25" s="27" t="s">
        <v>43</v>
      </c>
      <c r="C25" s="40">
        <v>1</v>
      </c>
      <c r="D25" s="40"/>
      <c r="E25" s="40">
        <v>1</v>
      </c>
      <c r="F25" s="40">
        <v>19</v>
      </c>
      <c r="G25" s="27" t="s">
        <v>40</v>
      </c>
      <c r="H25" s="71">
        <v>2</v>
      </c>
      <c r="I25" s="71">
        <v>2</v>
      </c>
      <c r="J25" s="71"/>
      <c r="K25" s="71"/>
      <c r="L25" s="187"/>
      <c r="M25" s="404"/>
      <c r="N25" s="405"/>
      <c r="O25" s="405"/>
      <c r="P25" s="405"/>
      <c r="Q25" s="405"/>
      <c r="R25" s="406"/>
      <c r="S25" s="198"/>
      <c r="T25" s="362"/>
      <c r="U25" s="363"/>
      <c r="V25" s="366"/>
      <c r="W25" s="209">
        <f>V22+T22</f>
        <v>30524</v>
      </c>
      <c r="Z25" s="34">
        <v>118349</v>
      </c>
    </row>
    <row r="26" spans="1:27" s="6" customFormat="1" ht="51.95" customHeight="1">
      <c r="A26" s="33">
        <v>20</v>
      </c>
      <c r="B26" s="27" t="s">
        <v>45</v>
      </c>
      <c r="C26" s="40">
        <v>2</v>
      </c>
      <c r="D26" s="40">
        <v>1</v>
      </c>
      <c r="E26" s="40">
        <v>1</v>
      </c>
      <c r="F26" s="40">
        <v>20</v>
      </c>
      <c r="G26" s="27" t="s">
        <v>53</v>
      </c>
      <c r="H26" s="71">
        <v>20</v>
      </c>
      <c r="I26" s="71">
        <v>20</v>
      </c>
      <c r="J26" s="71"/>
      <c r="K26" s="71"/>
      <c r="L26" s="187"/>
      <c r="M26" s="404"/>
      <c r="N26" s="405"/>
      <c r="O26" s="405"/>
      <c r="P26" s="405"/>
      <c r="Q26" s="405"/>
      <c r="R26" s="406"/>
      <c r="S26" s="198"/>
      <c r="T26" s="362"/>
      <c r="U26" s="363"/>
      <c r="V26" s="366"/>
      <c r="W26" s="209"/>
      <c r="Z26" s="34"/>
    </row>
    <row r="27" spans="1:27" s="6" customFormat="1" ht="51.95" customHeight="1">
      <c r="A27" s="33">
        <v>21</v>
      </c>
      <c r="B27" s="27" t="s">
        <v>58</v>
      </c>
      <c r="C27" s="40">
        <v>1</v>
      </c>
      <c r="D27" s="40">
        <v>1</v>
      </c>
      <c r="E27" s="40"/>
      <c r="F27" s="40">
        <v>21</v>
      </c>
      <c r="G27" s="27" t="s">
        <v>54</v>
      </c>
      <c r="H27" s="71">
        <v>5</v>
      </c>
      <c r="I27" s="71">
        <v>5</v>
      </c>
      <c r="J27" s="71"/>
      <c r="K27" s="71"/>
      <c r="L27" s="153"/>
      <c r="M27" s="407"/>
      <c r="N27" s="408"/>
      <c r="O27" s="408"/>
      <c r="P27" s="408"/>
      <c r="Q27" s="408"/>
      <c r="R27" s="409"/>
      <c r="S27" s="199"/>
      <c r="T27" s="364"/>
      <c r="U27" s="365"/>
      <c r="V27" s="350"/>
      <c r="W27" s="209"/>
      <c r="Z27" s="34"/>
    </row>
    <row r="28" spans="1:27" ht="51.95" customHeight="1">
      <c r="A28" s="33">
        <v>22</v>
      </c>
      <c r="B28" s="27" t="s">
        <v>101</v>
      </c>
      <c r="C28" s="40">
        <v>1</v>
      </c>
      <c r="D28" s="40">
        <v>1</v>
      </c>
      <c r="E28" s="40"/>
      <c r="F28" s="40">
        <v>22</v>
      </c>
      <c r="G28" s="27" t="s">
        <v>55</v>
      </c>
      <c r="H28" s="71">
        <v>6</v>
      </c>
      <c r="I28" s="71">
        <v>6</v>
      </c>
      <c r="J28" s="71"/>
      <c r="K28" s="71"/>
      <c r="L28" s="168" t="s">
        <v>104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70"/>
      <c r="W28" s="32"/>
      <c r="Z28" s="1"/>
    </row>
    <row r="29" spans="1:27" ht="51.95" customHeight="1">
      <c r="A29" s="33">
        <v>23</v>
      </c>
      <c r="B29" s="27" t="s">
        <v>44</v>
      </c>
      <c r="C29" s="40">
        <v>2</v>
      </c>
      <c r="D29" s="40">
        <v>2</v>
      </c>
      <c r="E29" s="40"/>
      <c r="F29" s="40">
        <v>23</v>
      </c>
      <c r="G29" s="27" t="s">
        <v>73</v>
      </c>
      <c r="H29" s="71">
        <v>1</v>
      </c>
      <c r="I29" s="71">
        <v>1</v>
      </c>
      <c r="J29" s="71"/>
      <c r="K29" s="71"/>
      <c r="L29" s="40">
        <v>1</v>
      </c>
      <c r="M29" s="171" t="s">
        <v>120</v>
      </c>
      <c r="N29" s="172"/>
      <c r="O29" s="172"/>
      <c r="P29" s="172"/>
      <c r="Q29" s="172"/>
      <c r="R29" s="173"/>
      <c r="S29" s="49"/>
      <c r="T29" s="50"/>
      <c r="U29" s="51"/>
      <c r="V29" s="54"/>
      <c r="W29" s="178"/>
      <c r="Z29" s="1"/>
    </row>
    <row r="30" spans="1:27" ht="51.95" customHeight="1">
      <c r="A30" s="33">
        <v>24</v>
      </c>
      <c r="B30" s="27" t="s">
        <v>103</v>
      </c>
      <c r="C30" s="40">
        <v>1</v>
      </c>
      <c r="D30" s="40"/>
      <c r="E30" s="40">
        <v>1</v>
      </c>
      <c r="F30" s="40">
        <v>24</v>
      </c>
      <c r="G30" s="27" t="s">
        <v>97</v>
      </c>
      <c r="H30" s="71">
        <v>2</v>
      </c>
      <c r="I30" s="71"/>
      <c r="J30" s="71"/>
      <c r="K30" s="71"/>
      <c r="L30" s="152">
        <v>2</v>
      </c>
      <c r="M30" s="180" t="s">
        <v>119</v>
      </c>
      <c r="N30" s="181"/>
      <c r="O30" s="181"/>
      <c r="P30" s="181"/>
      <c r="Q30" s="181"/>
      <c r="R30" s="182"/>
      <c r="S30" s="160"/>
      <c r="T30" s="162"/>
      <c r="U30" s="163"/>
      <c r="V30" s="166"/>
      <c r="W30" s="179"/>
      <c r="Z30" s="1"/>
    </row>
    <row r="31" spans="1:27" ht="51.95" customHeight="1">
      <c r="A31" s="33">
        <v>25</v>
      </c>
      <c r="B31" s="27" t="s">
        <v>60</v>
      </c>
      <c r="C31" s="40">
        <v>3</v>
      </c>
      <c r="D31" s="40">
        <v>2</v>
      </c>
      <c r="E31" s="40">
        <v>1</v>
      </c>
      <c r="F31" s="40"/>
      <c r="G31" s="27"/>
      <c r="H31" s="27"/>
      <c r="I31" s="27"/>
      <c r="J31" s="27"/>
      <c r="K31" s="27"/>
      <c r="L31" s="153"/>
      <c r="M31" s="183"/>
      <c r="N31" s="184"/>
      <c r="O31" s="184"/>
      <c r="P31" s="184"/>
      <c r="Q31" s="184"/>
      <c r="R31" s="185"/>
      <c r="S31" s="161"/>
      <c r="T31" s="164"/>
      <c r="U31" s="165"/>
      <c r="V31" s="167"/>
      <c r="W31" s="179"/>
      <c r="Z31" s="1"/>
    </row>
    <row r="32" spans="1:27" ht="51.95" customHeight="1">
      <c r="A32" s="33">
        <v>26</v>
      </c>
      <c r="B32" s="27" t="s">
        <v>65</v>
      </c>
      <c r="C32" s="40">
        <v>3</v>
      </c>
      <c r="D32" s="40">
        <v>1</v>
      </c>
      <c r="E32" s="40">
        <v>2</v>
      </c>
      <c r="F32" s="40"/>
      <c r="G32" s="27"/>
      <c r="H32" s="27"/>
      <c r="I32" s="27"/>
      <c r="J32" s="27"/>
      <c r="K32" s="27"/>
      <c r="L32" s="186">
        <v>3</v>
      </c>
      <c r="M32" s="180" t="s">
        <v>128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33">
        <v>27</v>
      </c>
      <c r="B33" s="27" t="s">
        <v>62</v>
      </c>
      <c r="C33" s="40">
        <v>9</v>
      </c>
      <c r="D33" s="40">
        <v>6</v>
      </c>
      <c r="E33" s="40">
        <v>3</v>
      </c>
      <c r="F33" s="40"/>
      <c r="G33" s="27"/>
      <c r="H33" s="27"/>
      <c r="I33" s="27"/>
      <c r="J33" s="27"/>
      <c r="K33" s="27"/>
      <c r="L33" s="186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33">
        <v>28</v>
      </c>
      <c r="B34" s="27" t="s">
        <v>36</v>
      </c>
      <c r="C34" s="40">
        <v>1</v>
      </c>
      <c r="D34" s="40"/>
      <c r="E34" s="40">
        <v>1</v>
      </c>
      <c r="F34" s="40"/>
      <c r="G34" s="27"/>
      <c r="H34" s="27"/>
      <c r="I34" s="27"/>
      <c r="J34" s="27"/>
      <c r="K34" s="27"/>
      <c r="L34" s="152">
        <v>4</v>
      </c>
      <c r="M34" s="384" t="s">
        <v>155</v>
      </c>
      <c r="N34" s="385"/>
      <c r="O34" s="385"/>
      <c r="P34" s="385"/>
      <c r="Q34" s="385"/>
      <c r="R34" s="386"/>
      <c r="S34" s="160"/>
      <c r="T34" s="162"/>
      <c r="U34" s="163"/>
      <c r="V34" s="166"/>
      <c r="W34" s="16"/>
      <c r="Z34" s="1"/>
    </row>
    <row r="35" spans="1:27" ht="51.95" customHeight="1">
      <c r="A35" s="33">
        <v>29</v>
      </c>
      <c r="B35" s="27" t="s">
        <v>93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3"/>
      <c r="M35" s="387"/>
      <c r="N35" s="388"/>
      <c r="O35" s="388"/>
      <c r="P35" s="388"/>
      <c r="Q35" s="388"/>
      <c r="R35" s="389"/>
      <c r="S35" s="161"/>
      <c r="T35" s="164"/>
      <c r="U35" s="165"/>
      <c r="V35" s="167"/>
      <c r="W35" s="16"/>
      <c r="Z35" s="1"/>
    </row>
    <row r="36" spans="1:27" ht="51.95" customHeight="1">
      <c r="A36" s="33">
        <v>30</v>
      </c>
      <c r="B36" s="27" t="s">
        <v>46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27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  <c r="Z36" s="1"/>
    </row>
    <row r="37" spans="1:27" ht="51.95" customHeight="1">
      <c r="A37" s="33">
        <v>31</v>
      </c>
      <c r="B37" s="27" t="s">
        <v>95</v>
      </c>
      <c r="C37" s="40">
        <v>8</v>
      </c>
      <c r="D37" s="40"/>
      <c r="E37" s="40">
        <v>8</v>
      </c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33">
        <v>32</v>
      </c>
      <c r="B38" s="70" t="s">
        <v>118</v>
      </c>
      <c r="C38" s="64">
        <v>4</v>
      </c>
      <c r="D38" s="64">
        <v>4</v>
      </c>
      <c r="E38" s="64"/>
      <c r="F38" s="64"/>
      <c r="G38" s="70"/>
      <c r="H38" s="70"/>
      <c r="I38" s="70"/>
      <c r="J38" s="70"/>
      <c r="K38" s="7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93</v>
      </c>
      <c r="D39" s="61">
        <f>SUM(D7:D38)</f>
        <v>52</v>
      </c>
      <c r="E39" s="61">
        <f>SUM(E7:E38)</f>
        <v>40</v>
      </c>
      <c r="F39" s="151" t="s">
        <v>9</v>
      </c>
      <c r="G39" s="151"/>
      <c r="H39" s="75">
        <f>SUM(H7:H37)</f>
        <v>73</v>
      </c>
      <c r="I39" s="60">
        <f>SUM(I7:I37)</f>
        <v>65</v>
      </c>
      <c r="J39" s="75">
        <f>SUM(J7:J37)</f>
        <v>4</v>
      </c>
      <c r="K39" s="75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48.5" customHeight="1">
      <c r="A42" s="13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1</v>
      </c>
      <c r="I42" s="136"/>
      <c r="J42" s="135"/>
      <c r="K42" s="134">
        <v>98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80">
        <f>K42+H42</f>
        <v>99</v>
      </c>
      <c r="Y42" s="8"/>
    </row>
    <row r="43" spans="1:27" ht="110.25" customHeight="1">
      <c r="A43" s="13">
        <v>2</v>
      </c>
      <c r="B43" s="74" t="s">
        <v>136</v>
      </c>
      <c r="C43" s="117">
        <v>29</v>
      </c>
      <c r="D43" s="118"/>
      <c r="E43" s="109">
        <f>2527+29</f>
        <v>2556</v>
      </c>
      <c r="F43" s="111"/>
      <c r="G43" s="110"/>
      <c r="H43" s="134">
        <v>3</v>
      </c>
      <c r="I43" s="136"/>
      <c r="J43" s="135"/>
      <c r="K43" s="134">
        <v>681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80">
        <f t="shared" ref="W43:W50" si="2">K43+H43</f>
        <v>684</v>
      </c>
      <c r="X43" s="2"/>
      <c r="Y43" s="7"/>
      <c r="Z43" s="7"/>
      <c r="AA43" s="9"/>
    </row>
    <row r="44" spans="1:27" ht="90.75" customHeight="1">
      <c r="A44" s="13">
        <v>3</v>
      </c>
      <c r="B44" s="74" t="s">
        <v>80</v>
      </c>
      <c r="C44" s="122"/>
      <c r="D44" s="123"/>
      <c r="E44" s="109">
        <v>118000</v>
      </c>
      <c r="F44" s="111"/>
      <c r="G44" s="110"/>
      <c r="H44" s="109">
        <v>1840</v>
      </c>
      <c r="I44" s="111"/>
      <c r="J44" s="110"/>
      <c r="K44" s="109">
        <v>121186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123026</v>
      </c>
      <c r="X44" s="2"/>
      <c r="Y44" s="7"/>
      <c r="Z44" s="7"/>
      <c r="AA44" s="9"/>
    </row>
    <row r="45" spans="1:27" ht="65.099999999999994" customHeight="1">
      <c r="A45" s="13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/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13">
        <v>5</v>
      </c>
      <c r="B46" s="74" t="s">
        <v>114</v>
      </c>
      <c r="C46" s="122">
        <v>11</v>
      </c>
      <c r="D46" s="123"/>
      <c r="E46" s="109">
        <f>1184+11</f>
        <v>1195</v>
      </c>
      <c r="F46" s="111"/>
      <c r="G46" s="110"/>
      <c r="H46" s="109">
        <v>10</v>
      </c>
      <c r="I46" s="111"/>
      <c r="J46" s="110"/>
      <c r="K46" s="109">
        <v>1194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1204</v>
      </c>
      <c r="X46" s="2"/>
      <c r="Y46" s="7"/>
      <c r="Z46" s="7"/>
      <c r="AA46" s="9"/>
    </row>
    <row r="47" spans="1:27" ht="65.099999999999994" customHeight="1">
      <c r="A47" s="13">
        <v>6</v>
      </c>
      <c r="B47" s="74" t="s">
        <v>115</v>
      </c>
      <c r="C47" s="122">
        <v>77</v>
      </c>
      <c r="D47" s="123"/>
      <c r="E47" s="109">
        <f>7055+77</f>
        <v>7132</v>
      </c>
      <c r="F47" s="111"/>
      <c r="G47" s="110"/>
      <c r="H47" s="109">
        <v>77</v>
      </c>
      <c r="I47" s="111"/>
      <c r="J47" s="110"/>
      <c r="K47" s="109">
        <v>7132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7209</v>
      </c>
      <c r="X47" s="2"/>
      <c r="Y47" s="7"/>
      <c r="Z47" s="7"/>
      <c r="AA47" s="9"/>
    </row>
    <row r="48" spans="1:27" ht="65.099999999999994" customHeight="1">
      <c r="A48" s="13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/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13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/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13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/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65.099999999999994" customHeight="1">
      <c r="A51" s="13">
        <v>10</v>
      </c>
      <c r="B51" s="74" t="s">
        <v>174</v>
      </c>
      <c r="C51" s="109"/>
      <c r="D51" s="110"/>
      <c r="E51" s="109">
        <v>127</v>
      </c>
      <c r="F51" s="111"/>
      <c r="G51" s="110"/>
      <c r="H51" s="109">
        <v>0</v>
      </c>
      <c r="I51" s="111"/>
      <c r="J51" s="110"/>
      <c r="K51" s="109">
        <v>0</v>
      </c>
      <c r="L51" s="111"/>
      <c r="M51" s="111"/>
      <c r="N51" s="110"/>
      <c r="O51" s="399"/>
      <c r="P51" s="399"/>
      <c r="Q51" s="399"/>
      <c r="R51" s="399"/>
      <c r="S51" s="399"/>
      <c r="T51" s="399"/>
      <c r="U51" s="399"/>
      <c r="V51" s="400"/>
      <c r="W51" s="22"/>
      <c r="X51" s="2"/>
      <c r="Y51" s="7"/>
      <c r="Z51" s="7"/>
      <c r="AA51" s="9"/>
    </row>
    <row r="52" spans="1:27" ht="36.75" customHeight="1">
      <c r="A52" s="114" t="s">
        <v>90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6"/>
      <c r="W52" s="21"/>
      <c r="X52" s="2"/>
      <c r="Y52" s="7">
        <f>14050+100</f>
        <v>14150</v>
      </c>
      <c r="Z52" s="7"/>
      <c r="AA52" s="9"/>
    </row>
    <row r="53" spans="1:27" s="44" customFormat="1" ht="54" customHeight="1">
      <c r="A53" s="93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5"/>
      <c r="W53" s="41"/>
      <c r="X53" s="42"/>
      <c r="Y53" s="42"/>
      <c r="Z53" s="42"/>
      <c r="AA53" s="43"/>
    </row>
    <row r="54" spans="1:27" ht="42.75" customHeight="1">
      <c r="A54" s="96" t="s">
        <v>88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8"/>
      <c r="O54" s="99" t="s">
        <v>18</v>
      </c>
      <c r="P54" s="99"/>
      <c r="Q54" s="99"/>
      <c r="R54" s="99"/>
      <c r="S54" s="99"/>
      <c r="T54" s="99"/>
      <c r="U54" s="99"/>
      <c r="V54" s="100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5" t="s">
        <v>67</v>
      </c>
      <c r="P55" s="105"/>
      <c r="Q55" s="105"/>
      <c r="R55" s="105"/>
      <c r="S55" s="105"/>
      <c r="T55" s="105"/>
      <c r="U55" s="105"/>
      <c r="V55" s="106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/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>
      <c r="A58" s="10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5"/>
      <c r="P58" s="105"/>
      <c r="Q58" s="105"/>
      <c r="R58" s="105"/>
      <c r="S58" s="105"/>
      <c r="T58" s="105"/>
      <c r="U58" s="105"/>
      <c r="V58" s="106"/>
    </row>
    <row r="59" spans="1:27" ht="45" customHeight="1" thickBot="1">
      <c r="A59" s="103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7"/>
      <c r="P59" s="107"/>
      <c r="Q59" s="107"/>
      <c r="R59" s="107"/>
      <c r="S59" s="107"/>
      <c r="T59" s="107"/>
      <c r="U59" s="107"/>
      <c r="V59" s="108"/>
    </row>
    <row r="62" spans="1:27">
      <c r="S62" s="28"/>
      <c r="T62" s="28"/>
      <c r="U62" s="28"/>
    </row>
    <row r="63" spans="1:27">
      <c r="G63" s="12" t="s">
        <v>58</v>
      </c>
      <c r="H63" s="24">
        <v>1</v>
      </c>
      <c r="I63" s="24"/>
      <c r="J63" s="24">
        <v>1</v>
      </c>
      <c r="S63" s="28"/>
      <c r="T63" s="28">
        <v>17</v>
      </c>
      <c r="U63" s="29"/>
    </row>
    <row r="64" spans="1:27">
      <c r="G64" s="12" t="s">
        <v>103</v>
      </c>
      <c r="H64" s="24">
        <v>1</v>
      </c>
      <c r="I64" s="24">
        <v>1</v>
      </c>
      <c r="J64" s="24"/>
      <c r="S64" s="28"/>
      <c r="T64" s="28">
        <v>17</v>
      </c>
      <c r="U64" s="30"/>
    </row>
    <row r="65" spans="1:31">
      <c r="G65" s="12" t="s">
        <v>44</v>
      </c>
      <c r="H65" s="24">
        <v>2</v>
      </c>
      <c r="I65" s="24">
        <v>2</v>
      </c>
      <c r="J65" s="24"/>
      <c r="S65" s="28"/>
      <c r="T65" s="28">
        <v>17</v>
      </c>
      <c r="U65" s="28"/>
    </row>
    <row r="66" spans="1:31">
      <c r="G66" s="12" t="s">
        <v>8</v>
      </c>
      <c r="H66" s="24">
        <v>8</v>
      </c>
      <c r="I66" s="24">
        <v>8</v>
      </c>
      <c r="J66" s="24"/>
      <c r="T66" s="3">
        <v>17</v>
      </c>
    </row>
    <row r="67" spans="1:31">
      <c r="G67" s="12" t="s">
        <v>101</v>
      </c>
      <c r="H67" s="24">
        <v>1</v>
      </c>
      <c r="I67" s="24">
        <v>1</v>
      </c>
      <c r="J67" s="24"/>
      <c r="T67" s="3">
        <v>19</v>
      </c>
    </row>
    <row r="68" spans="1:31">
      <c r="G68" s="12" t="s">
        <v>63</v>
      </c>
      <c r="H68" s="24">
        <v>8</v>
      </c>
      <c r="I68" s="24">
        <v>7</v>
      </c>
      <c r="J68" s="24">
        <v>1</v>
      </c>
      <c r="T68" s="3">
        <v>20</v>
      </c>
    </row>
    <row r="69" spans="1:31">
      <c r="G69" s="12" t="s">
        <v>17</v>
      </c>
      <c r="H69" s="24">
        <v>7</v>
      </c>
      <c r="I69" s="24">
        <v>6</v>
      </c>
      <c r="J69" s="24">
        <v>1</v>
      </c>
      <c r="T69" s="3">
        <v>21</v>
      </c>
    </row>
    <row r="70" spans="1:31">
      <c r="G70" s="12" t="s">
        <v>65</v>
      </c>
      <c r="H70" s="24">
        <v>2</v>
      </c>
      <c r="I70" s="24">
        <v>2</v>
      </c>
      <c r="J70" s="24"/>
      <c r="T70" s="3">
        <v>18</v>
      </c>
    </row>
    <row r="71" spans="1:31">
      <c r="G71" s="12" t="s">
        <v>62</v>
      </c>
      <c r="H71" s="24">
        <v>7</v>
      </c>
      <c r="I71" s="24">
        <v>6</v>
      </c>
      <c r="J71" s="24">
        <v>1</v>
      </c>
      <c r="T71" s="3">
        <v>18.600000000000001</v>
      </c>
    </row>
    <row r="72" spans="1:31" s="3" customFormat="1">
      <c r="A72"/>
      <c r="B72" s="15"/>
      <c r="G72" s="12" t="s">
        <v>36</v>
      </c>
      <c r="H72" s="24">
        <f>J73+I72</f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43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45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93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46</v>
      </c>
      <c r="H76" s="24">
        <v>1</v>
      </c>
      <c r="I76" s="24">
        <v>1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60</v>
      </c>
      <c r="H77" s="24">
        <v>4</v>
      </c>
      <c r="I77" s="24">
        <v>4</v>
      </c>
      <c r="J77" s="2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48</v>
      </c>
      <c r="H78" s="24">
        <v>1</v>
      </c>
      <c r="I78" s="24"/>
      <c r="J78" s="24">
        <v>1</v>
      </c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G79" s="12" t="s">
        <v>95</v>
      </c>
      <c r="H79" s="24">
        <v>6</v>
      </c>
      <c r="I79" s="24">
        <v>6</v>
      </c>
      <c r="J79" s="2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24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22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19</v>
      </c>
      <c r="W111" s="20"/>
      <c r="X111"/>
      <c r="Y111"/>
      <c r="Z111"/>
      <c r="AA111"/>
      <c r="AB111"/>
      <c r="AC111"/>
      <c r="AD111"/>
      <c r="AE111"/>
    </row>
    <row r="112" spans="1:31" s="3" customFormat="1">
      <c r="A112"/>
      <c r="B112" s="15"/>
      <c r="J112" s="4"/>
      <c r="N112" s="3">
        <v>22</v>
      </c>
      <c r="W112" s="20"/>
      <c r="X112"/>
      <c r="Y112"/>
      <c r="Z112"/>
      <c r="AA112"/>
      <c r="AB112"/>
      <c r="AC112"/>
      <c r="AD112"/>
      <c r="AE112"/>
    </row>
  </sheetData>
  <autoFilter ref="A6:AE52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V17:V18"/>
    <mergeCell ref="L19:L21"/>
    <mergeCell ref="M19:R21"/>
    <mergeCell ref="S19:S21"/>
    <mergeCell ref="T19:U21"/>
    <mergeCell ref="V19:V21"/>
    <mergeCell ref="M16:R16"/>
    <mergeCell ref="T16:U16"/>
    <mergeCell ref="L17:L18"/>
    <mergeCell ref="M17:R18"/>
    <mergeCell ref="S17:S18"/>
    <mergeCell ref="T17:U18"/>
    <mergeCell ref="W29:W33"/>
    <mergeCell ref="L30:L31"/>
    <mergeCell ref="M30:R31"/>
    <mergeCell ref="S30:S31"/>
    <mergeCell ref="T30:U31"/>
    <mergeCell ref="V30:V31"/>
    <mergeCell ref="L32:L33"/>
    <mergeCell ref="M32:R33"/>
    <mergeCell ref="L22:L27"/>
    <mergeCell ref="M22:R27"/>
    <mergeCell ref="S22:S27"/>
    <mergeCell ref="T22:U27"/>
    <mergeCell ref="V22:V27"/>
    <mergeCell ref="W25:W27"/>
    <mergeCell ref="S32:S33"/>
    <mergeCell ref="T32:U33"/>
    <mergeCell ref="V32:V33"/>
    <mergeCell ref="L34:L35"/>
    <mergeCell ref="M34:R35"/>
    <mergeCell ref="S34:S35"/>
    <mergeCell ref="T34:U35"/>
    <mergeCell ref="V34:V35"/>
    <mergeCell ref="L28:V28"/>
    <mergeCell ref="M29:R29"/>
    <mergeCell ref="A40:N40"/>
    <mergeCell ref="O40:V40"/>
    <mergeCell ref="C41:D41"/>
    <mergeCell ref="E41:G41"/>
    <mergeCell ref="H41:J41"/>
    <mergeCell ref="K41:N41"/>
    <mergeCell ref="O41:R41"/>
    <mergeCell ref="M36:R36"/>
    <mergeCell ref="M37:R37"/>
    <mergeCell ref="M38:R38"/>
    <mergeCell ref="A39:B39"/>
    <mergeCell ref="F39:G39"/>
    <mergeCell ref="M39:R39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A52:V52"/>
    <mergeCell ref="A53:V53"/>
    <mergeCell ref="A54:N54"/>
    <mergeCell ref="O54:V54"/>
    <mergeCell ref="A55:N59"/>
    <mergeCell ref="O55:V59"/>
    <mergeCell ref="C50:D50"/>
    <mergeCell ref="E50:G50"/>
    <mergeCell ref="H50:J50"/>
    <mergeCell ref="K50:N50"/>
    <mergeCell ref="O50:V50"/>
    <mergeCell ref="C51:D51"/>
    <mergeCell ref="E51:G51"/>
    <mergeCell ref="H51:J51"/>
    <mergeCell ref="K51:N51"/>
    <mergeCell ref="O51:V51"/>
  </mergeCells>
  <printOptions horizontalCentered="1" verticalCentered="1"/>
  <pageMargins left="0.15" right="0.15" top="0.5" bottom="0.8" header="0" footer="0.5"/>
  <pageSetup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4090-30A2-4941-9BD5-F6B02567D7C0}">
  <sheetPr>
    <pageSetUpPr fitToPage="1"/>
  </sheetPr>
  <dimension ref="A1:AH112"/>
  <sheetViews>
    <sheetView rightToLeft="1" view="pageBreakPreview" topLeftCell="A7" zoomScale="40" zoomScaleNormal="110" zoomScaleSheetLayoutView="40" workbookViewId="0">
      <selection activeCell="M11" sqref="M11:R14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140</v>
      </c>
      <c r="S1" s="297"/>
      <c r="T1" s="300" t="s">
        <v>185</v>
      </c>
      <c r="U1" s="300"/>
      <c r="V1" s="302" t="s">
        <v>186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303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303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125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16" t="s">
        <v>82</v>
      </c>
      <c r="W7" s="19"/>
    </row>
    <row r="8" spans="1:34" ht="51.9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17"/>
      <c r="W8" s="19"/>
      <c r="AA8" s="6"/>
      <c r="AB8" s="6"/>
      <c r="AC8" s="6"/>
      <c r="AD8" s="6"/>
      <c r="AE8" s="6"/>
    </row>
    <row r="9" spans="1:34" ht="51.9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>
        <v>1</v>
      </c>
      <c r="J9" s="71"/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349">
        <v>492480</v>
      </c>
      <c r="X9" s="5"/>
      <c r="Y9" s="5">
        <v>3000</v>
      </c>
      <c r="Z9" s="5"/>
    </row>
    <row r="10" spans="1:34" ht="51.9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>
        <v>1</v>
      </c>
      <c r="J10" s="71"/>
      <c r="K10" s="71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350"/>
      <c r="W10" s="19"/>
      <c r="AA10" s="6"/>
      <c r="AB10" s="6"/>
      <c r="AC10" s="6"/>
      <c r="AD10" s="6"/>
      <c r="AE10" s="6"/>
    </row>
    <row r="11" spans="1:34" ht="60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5</v>
      </c>
      <c r="J11" s="71">
        <v>1</v>
      </c>
      <c r="K11" s="71"/>
      <c r="L11" s="186">
        <v>2</v>
      </c>
      <c r="M11" s="390" t="s">
        <v>187</v>
      </c>
      <c r="N11" s="391"/>
      <c r="O11" s="391"/>
      <c r="P11" s="391"/>
      <c r="Q11" s="391"/>
      <c r="R11" s="392"/>
      <c r="S11" s="160" t="s">
        <v>57</v>
      </c>
      <c r="T11" s="360">
        <f>400*20</f>
        <v>8000</v>
      </c>
      <c r="U11" s="361"/>
      <c r="V11" s="349">
        <v>219115</v>
      </c>
      <c r="W11" s="236">
        <f>V11+T11</f>
        <v>227115</v>
      </c>
      <c r="AA11" s="6"/>
      <c r="AB11" s="6"/>
      <c r="AC11" s="6"/>
      <c r="AD11" s="6"/>
      <c r="AE11" s="6"/>
    </row>
    <row r="12" spans="1:34" ht="60" customHeight="1">
      <c r="A12" s="33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36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33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72">
        <v>1</v>
      </c>
      <c r="I13" s="72"/>
      <c r="J13" s="72">
        <v>1</v>
      </c>
      <c r="K13" s="71"/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36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1</v>
      </c>
      <c r="J14" s="71"/>
      <c r="K14" s="71">
        <v>1</v>
      </c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350"/>
      <c r="W14" s="236"/>
    </row>
    <row r="15" spans="1:34" ht="51.95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79">
        <v>51330</v>
      </c>
      <c r="W15" s="39">
        <f>V15+T15</f>
        <v>51330</v>
      </c>
    </row>
    <row r="16" spans="1:34" ht="51.95" customHeight="1">
      <c r="A16" s="33">
        <v>10</v>
      </c>
      <c r="B16" s="67" t="s">
        <v>113</v>
      </c>
      <c r="C16" s="40">
        <v>1</v>
      </c>
      <c r="D16" s="40"/>
      <c r="E16" s="40">
        <v>1</v>
      </c>
      <c r="F16" s="40">
        <v>10</v>
      </c>
      <c r="G16" s="24" t="s">
        <v>70</v>
      </c>
      <c r="H16" s="71">
        <v>3</v>
      </c>
      <c r="I16" s="71">
        <v>2</v>
      </c>
      <c r="J16" s="71">
        <v>1</v>
      </c>
      <c r="K16" s="71"/>
      <c r="L16" s="40">
        <v>4</v>
      </c>
      <c r="M16" s="140" t="s">
        <v>116</v>
      </c>
      <c r="N16" s="141"/>
      <c r="O16" s="141"/>
      <c r="P16" s="141"/>
      <c r="Q16" s="141"/>
      <c r="R16" s="142"/>
      <c r="S16" s="35" t="s">
        <v>85</v>
      </c>
      <c r="T16" s="373">
        <v>0</v>
      </c>
      <c r="U16" s="374"/>
      <c r="V16" s="79">
        <v>43476</v>
      </c>
      <c r="W16" s="47">
        <f>V16+T16</f>
        <v>43476</v>
      </c>
    </row>
    <row r="17" spans="1:27" ht="51.95" customHeight="1">
      <c r="A17" s="33">
        <v>11</v>
      </c>
      <c r="B17" s="27" t="s">
        <v>21</v>
      </c>
      <c r="C17" s="40">
        <v>2</v>
      </c>
      <c r="D17" s="40">
        <v>1</v>
      </c>
      <c r="E17" s="40">
        <v>1</v>
      </c>
      <c r="F17" s="40">
        <v>11</v>
      </c>
      <c r="G17" s="27" t="s">
        <v>102</v>
      </c>
      <c r="H17" s="71">
        <v>2</v>
      </c>
      <c r="I17" s="71">
        <v>2</v>
      </c>
      <c r="J17" s="71"/>
      <c r="K17" s="71"/>
      <c r="L17" s="186">
        <v>5</v>
      </c>
      <c r="M17" s="230" t="s">
        <v>188</v>
      </c>
      <c r="N17" s="231"/>
      <c r="O17" s="231"/>
      <c r="P17" s="231"/>
      <c r="Q17" s="231"/>
      <c r="R17" s="232"/>
      <c r="S17" s="160" t="s">
        <v>85</v>
      </c>
      <c r="T17" s="367">
        <f>144*10</f>
        <v>1440</v>
      </c>
      <c r="U17" s="368"/>
      <c r="V17" s="349">
        <v>97026</v>
      </c>
      <c r="W17" s="47">
        <f>V17+T17</f>
        <v>98466</v>
      </c>
      <c r="X17">
        <v>1</v>
      </c>
      <c r="Z17" s="1"/>
    </row>
    <row r="18" spans="1:27" ht="108.75" customHeight="1">
      <c r="A18" s="33">
        <v>12</v>
      </c>
      <c r="B18" s="27" t="s">
        <v>105</v>
      </c>
      <c r="C18" s="40">
        <v>1</v>
      </c>
      <c r="D18" s="40"/>
      <c r="E18" s="40">
        <v>1</v>
      </c>
      <c r="F18" s="40">
        <v>12</v>
      </c>
      <c r="G18" s="27" t="s">
        <v>78</v>
      </c>
      <c r="H18" s="71">
        <v>5</v>
      </c>
      <c r="I18" s="71">
        <v>4</v>
      </c>
      <c r="J18" s="71">
        <v>1</v>
      </c>
      <c r="K18" s="71"/>
      <c r="L18" s="186"/>
      <c r="M18" s="233"/>
      <c r="N18" s="234"/>
      <c r="O18" s="234"/>
      <c r="P18" s="234"/>
      <c r="Q18" s="234"/>
      <c r="R18" s="235"/>
      <c r="S18" s="161"/>
      <c r="T18" s="371"/>
      <c r="U18" s="372"/>
      <c r="V18" s="350"/>
      <c r="W18" s="32"/>
      <c r="Z18" s="1"/>
    </row>
    <row r="19" spans="1:27" ht="51.95" customHeight="1">
      <c r="A19" s="33">
        <v>13</v>
      </c>
      <c r="B19" s="27" t="s">
        <v>117</v>
      </c>
      <c r="C19" s="40">
        <v>1</v>
      </c>
      <c r="D19" s="40"/>
      <c r="E19" s="40">
        <v>1</v>
      </c>
      <c r="F19" s="40">
        <v>13</v>
      </c>
      <c r="G19" s="27" t="s">
        <v>19</v>
      </c>
      <c r="H19" s="71">
        <v>2</v>
      </c>
      <c r="I19" s="71">
        <v>2</v>
      </c>
      <c r="J19" s="71"/>
      <c r="K19" s="71"/>
      <c r="L19" s="152">
        <v>6</v>
      </c>
      <c r="M19" s="212" t="s">
        <v>159</v>
      </c>
      <c r="N19" s="213"/>
      <c r="O19" s="213"/>
      <c r="P19" s="213"/>
      <c r="Q19" s="213"/>
      <c r="R19" s="214"/>
      <c r="S19" s="160" t="s">
        <v>85</v>
      </c>
      <c r="T19" s="367">
        <v>0</v>
      </c>
      <c r="U19" s="368"/>
      <c r="V19" s="349">
        <v>40481</v>
      </c>
      <c r="W19" s="32"/>
      <c r="Z19" s="1"/>
    </row>
    <row r="20" spans="1:27" ht="51.95" customHeight="1">
      <c r="A20" s="33">
        <v>14</v>
      </c>
      <c r="B20" s="31" t="s">
        <v>37</v>
      </c>
      <c r="C20" s="40">
        <v>1</v>
      </c>
      <c r="D20" s="40"/>
      <c r="E20" s="40">
        <v>1</v>
      </c>
      <c r="F20" s="40">
        <v>14</v>
      </c>
      <c r="G20" s="27" t="s">
        <v>59</v>
      </c>
      <c r="H20" s="71">
        <v>1</v>
      </c>
      <c r="I20" s="71"/>
      <c r="J20" s="71">
        <v>1</v>
      </c>
      <c r="K20" s="71"/>
      <c r="L20" s="187"/>
      <c r="M20" s="215"/>
      <c r="N20" s="216"/>
      <c r="O20" s="216"/>
      <c r="P20" s="216"/>
      <c r="Q20" s="216"/>
      <c r="R20" s="217"/>
      <c r="S20" s="221"/>
      <c r="T20" s="369"/>
      <c r="U20" s="370"/>
      <c r="V20" s="366"/>
      <c r="W20" s="47">
        <f>V19+T19</f>
        <v>40481</v>
      </c>
      <c r="Z20" s="1"/>
    </row>
    <row r="21" spans="1:27" ht="51.95" customHeight="1">
      <c r="A21" s="33">
        <v>15</v>
      </c>
      <c r="B21" s="14" t="s">
        <v>94</v>
      </c>
      <c r="C21" s="40">
        <v>1</v>
      </c>
      <c r="D21" s="40">
        <v>1</v>
      </c>
      <c r="E21" s="40"/>
      <c r="F21" s="40">
        <v>15</v>
      </c>
      <c r="G21" s="27" t="s">
        <v>92</v>
      </c>
      <c r="H21" s="71">
        <v>1</v>
      </c>
      <c r="I21" s="71">
        <v>1</v>
      </c>
      <c r="J21" s="73"/>
      <c r="K21" s="71"/>
      <c r="L21" s="187"/>
      <c r="M21" s="218"/>
      <c r="N21" s="219"/>
      <c r="O21" s="219"/>
      <c r="P21" s="219"/>
      <c r="Q21" s="219"/>
      <c r="R21" s="220"/>
      <c r="S21" s="161"/>
      <c r="T21" s="371"/>
      <c r="U21" s="372"/>
      <c r="V21" s="350"/>
      <c r="W21" s="32"/>
      <c r="Z21" s="1"/>
    </row>
    <row r="22" spans="1:27" ht="51.95" customHeight="1">
      <c r="A22" s="33">
        <v>16</v>
      </c>
      <c r="B22" s="27" t="s">
        <v>8</v>
      </c>
      <c r="C22" s="59">
        <v>12</v>
      </c>
      <c r="D22" s="40">
        <v>4</v>
      </c>
      <c r="E22" s="40">
        <v>8</v>
      </c>
      <c r="F22" s="40">
        <v>16</v>
      </c>
      <c r="G22" s="27" t="s">
        <v>7</v>
      </c>
      <c r="H22" s="71">
        <v>3</v>
      </c>
      <c r="I22" s="71">
        <v>3</v>
      </c>
      <c r="J22" s="71"/>
      <c r="K22" s="71"/>
      <c r="L22" s="152">
        <v>7</v>
      </c>
      <c r="M22" s="401" t="s">
        <v>166</v>
      </c>
      <c r="N22" s="402"/>
      <c r="O22" s="402"/>
      <c r="P22" s="402"/>
      <c r="Q22" s="402"/>
      <c r="R22" s="403"/>
      <c r="S22" s="197" t="s">
        <v>85</v>
      </c>
      <c r="T22" s="360">
        <v>0</v>
      </c>
      <c r="U22" s="361"/>
      <c r="V22" s="349">
        <v>30524</v>
      </c>
      <c r="Z22" s="1"/>
    </row>
    <row r="23" spans="1:27" ht="51.95" customHeight="1">
      <c r="A23" s="33">
        <v>17</v>
      </c>
      <c r="B23" s="27" t="s">
        <v>63</v>
      </c>
      <c r="C23" s="59">
        <v>14</v>
      </c>
      <c r="D23" s="40">
        <v>7</v>
      </c>
      <c r="E23" s="40">
        <v>7</v>
      </c>
      <c r="F23" s="40">
        <v>17</v>
      </c>
      <c r="G23" s="27" t="s">
        <v>14</v>
      </c>
      <c r="H23" s="71">
        <v>4</v>
      </c>
      <c r="I23" s="71">
        <v>3</v>
      </c>
      <c r="J23" s="71"/>
      <c r="K23" s="71">
        <v>1</v>
      </c>
      <c r="L23" s="187"/>
      <c r="M23" s="404"/>
      <c r="N23" s="405"/>
      <c r="O23" s="405"/>
      <c r="P23" s="405"/>
      <c r="Q23" s="405"/>
      <c r="R23" s="406"/>
      <c r="S23" s="198"/>
      <c r="T23" s="362"/>
      <c r="U23" s="363"/>
      <c r="V23" s="366"/>
      <c r="W23" s="32"/>
      <c r="Z23" s="1"/>
    </row>
    <row r="24" spans="1:27" ht="51.95" customHeight="1">
      <c r="A24" s="33">
        <v>18</v>
      </c>
      <c r="B24" s="27" t="s">
        <v>17</v>
      </c>
      <c r="C24" s="40">
        <v>7</v>
      </c>
      <c r="D24" s="40">
        <v>5</v>
      </c>
      <c r="E24" s="40">
        <v>2</v>
      </c>
      <c r="F24" s="40">
        <v>18</v>
      </c>
      <c r="G24" s="27" t="s">
        <v>15</v>
      </c>
      <c r="H24" s="71">
        <v>1</v>
      </c>
      <c r="I24" s="71">
        <v>1</v>
      </c>
      <c r="J24" s="71"/>
      <c r="K24" s="71"/>
      <c r="L24" s="187"/>
      <c r="M24" s="404"/>
      <c r="N24" s="405"/>
      <c r="O24" s="405"/>
      <c r="P24" s="405"/>
      <c r="Q24" s="405"/>
      <c r="R24" s="406"/>
      <c r="S24" s="198"/>
      <c r="T24" s="362"/>
      <c r="U24" s="363"/>
      <c r="V24" s="366"/>
      <c r="W24" s="32"/>
      <c r="Z24" s="1">
        <v>35734</v>
      </c>
      <c r="AA24">
        <f>Z24/Z25</f>
        <v>0.30193748996611719</v>
      </c>
    </row>
    <row r="25" spans="1:27" s="6" customFormat="1" ht="51.95" customHeight="1">
      <c r="A25" s="33">
        <v>19</v>
      </c>
      <c r="B25" s="27" t="s">
        <v>43</v>
      </c>
      <c r="C25" s="40">
        <v>1</v>
      </c>
      <c r="D25" s="40"/>
      <c r="E25" s="40">
        <v>1</v>
      </c>
      <c r="F25" s="40">
        <v>19</v>
      </c>
      <c r="G25" s="27" t="s">
        <v>40</v>
      </c>
      <c r="H25" s="71">
        <v>2</v>
      </c>
      <c r="I25" s="71">
        <v>2</v>
      </c>
      <c r="J25" s="71"/>
      <c r="K25" s="71"/>
      <c r="L25" s="187"/>
      <c r="M25" s="404"/>
      <c r="N25" s="405"/>
      <c r="O25" s="405"/>
      <c r="P25" s="405"/>
      <c r="Q25" s="405"/>
      <c r="R25" s="406"/>
      <c r="S25" s="198"/>
      <c r="T25" s="362"/>
      <c r="U25" s="363"/>
      <c r="V25" s="366"/>
      <c r="W25" s="209">
        <f>V22+T22</f>
        <v>30524</v>
      </c>
      <c r="Z25" s="34">
        <v>118349</v>
      </c>
    </row>
    <row r="26" spans="1:27" s="6" customFormat="1" ht="51.95" customHeight="1">
      <c r="A26" s="33">
        <v>20</v>
      </c>
      <c r="B26" s="27" t="s">
        <v>45</v>
      </c>
      <c r="C26" s="40">
        <v>2</v>
      </c>
      <c r="D26" s="40">
        <v>1</v>
      </c>
      <c r="E26" s="40">
        <v>1</v>
      </c>
      <c r="F26" s="40">
        <v>20</v>
      </c>
      <c r="G26" s="27" t="s">
        <v>53</v>
      </c>
      <c r="H26" s="71">
        <v>20</v>
      </c>
      <c r="I26" s="71">
        <v>20</v>
      </c>
      <c r="J26" s="71"/>
      <c r="K26" s="71"/>
      <c r="L26" s="187"/>
      <c r="M26" s="404"/>
      <c r="N26" s="405"/>
      <c r="O26" s="405"/>
      <c r="P26" s="405"/>
      <c r="Q26" s="405"/>
      <c r="R26" s="406"/>
      <c r="S26" s="198"/>
      <c r="T26" s="362"/>
      <c r="U26" s="363"/>
      <c r="V26" s="366"/>
      <c r="W26" s="209"/>
      <c r="Z26" s="34"/>
    </row>
    <row r="27" spans="1:27" s="6" customFormat="1" ht="51.95" customHeight="1">
      <c r="A27" s="33">
        <v>21</v>
      </c>
      <c r="B27" s="27" t="s">
        <v>58</v>
      </c>
      <c r="C27" s="40">
        <v>1</v>
      </c>
      <c r="D27" s="40">
        <v>1</v>
      </c>
      <c r="E27" s="40"/>
      <c r="F27" s="40">
        <v>21</v>
      </c>
      <c r="G27" s="27" t="s">
        <v>54</v>
      </c>
      <c r="H27" s="71">
        <v>5</v>
      </c>
      <c r="I27" s="71">
        <v>5</v>
      </c>
      <c r="J27" s="71"/>
      <c r="K27" s="71"/>
      <c r="L27" s="153"/>
      <c r="M27" s="407"/>
      <c r="N27" s="408"/>
      <c r="O27" s="408"/>
      <c r="P27" s="408"/>
      <c r="Q27" s="408"/>
      <c r="R27" s="409"/>
      <c r="S27" s="199"/>
      <c r="T27" s="364"/>
      <c r="U27" s="365"/>
      <c r="V27" s="350"/>
      <c r="W27" s="209"/>
      <c r="Z27" s="34"/>
    </row>
    <row r="28" spans="1:27" ht="51.95" customHeight="1">
      <c r="A28" s="33">
        <v>22</v>
      </c>
      <c r="B28" s="27" t="s">
        <v>101</v>
      </c>
      <c r="C28" s="40">
        <v>1</v>
      </c>
      <c r="D28" s="40">
        <v>1</v>
      </c>
      <c r="E28" s="40"/>
      <c r="F28" s="40">
        <v>22</v>
      </c>
      <c r="G28" s="27" t="s">
        <v>55</v>
      </c>
      <c r="H28" s="71">
        <v>6</v>
      </c>
      <c r="I28" s="71">
        <v>6</v>
      </c>
      <c r="J28" s="71"/>
      <c r="K28" s="71"/>
      <c r="L28" s="168" t="s">
        <v>104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70"/>
      <c r="W28" s="32"/>
      <c r="Z28" s="1"/>
    </row>
    <row r="29" spans="1:27" ht="51.95" customHeight="1">
      <c r="A29" s="33">
        <v>23</v>
      </c>
      <c r="B29" s="27" t="s">
        <v>44</v>
      </c>
      <c r="C29" s="40">
        <v>2</v>
      </c>
      <c r="D29" s="40">
        <v>2</v>
      </c>
      <c r="E29" s="40"/>
      <c r="F29" s="40">
        <v>23</v>
      </c>
      <c r="G29" s="27" t="s">
        <v>73</v>
      </c>
      <c r="H29" s="71">
        <v>1</v>
      </c>
      <c r="I29" s="71">
        <v>1</v>
      </c>
      <c r="J29" s="71"/>
      <c r="K29" s="71"/>
      <c r="L29" s="40">
        <v>1</v>
      </c>
      <c r="M29" s="171" t="s">
        <v>120</v>
      </c>
      <c r="N29" s="172"/>
      <c r="O29" s="172"/>
      <c r="P29" s="172"/>
      <c r="Q29" s="172"/>
      <c r="R29" s="173"/>
      <c r="S29" s="49"/>
      <c r="T29" s="50"/>
      <c r="U29" s="51"/>
      <c r="V29" s="54"/>
      <c r="W29" s="178"/>
      <c r="Z29" s="1"/>
    </row>
    <row r="30" spans="1:27" ht="51.95" customHeight="1">
      <c r="A30" s="33">
        <v>24</v>
      </c>
      <c r="B30" s="27" t="s">
        <v>103</v>
      </c>
      <c r="C30" s="40">
        <v>1</v>
      </c>
      <c r="D30" s="40"/>
      <c r="E30" s="40">
        <v>1</v>
      </c>
      <c r="F30" s="40">
        <v>24</v>
      </c>
      <c r="G30" s="27" t="s">
        <v>97</v>
      </c>
      <c r="H30" s="71">
        <v>2</v>
      </c>
      <c r="I30" s="71"/>
      <c r="J30" s="71"/>
      <c r="K30" s="71"/>
      <c r="L30" s="152">
        <v>2</v>
      </c>
      <c r="M30" s="180" t="s">
        <v>119</v>
      </c>
      <c r="N30" s="181"/>
      <c r="O30" s="181"/>
      <c r="P30" s="181"/>
      <c r="Q30" s="181"/>
      <c r="R30" s="182"/>
      <c r="S30" s="160"/>
      <c r="T30" s="162"/>
      <c r="U30" s="163"/>
      <c r="V30" s="166"/>
      <c r="W30" s="179"/>
      <c r="Z30" s="1"/>
    </row>
    <row r="31" spans="1:27" ht="51.95" customHeight="1">
      <c r="A31" s="33">
        <v>25</v>
      </c>
      <c r="B31" s="27" t="s">
        <v>60</v>
      </c>
      <c r="C31" s="40">
        <v>3</v>
      </c>
      <c r="D31" s="40">
        <v>2</v>
      </c>
      <c r="E31" s="40">
        <v>1</v>
      </c>
      <c r="F31" s="40"/>
      <c r="G31" s="27"/>
      <c r="H31" s="27"/>
      <c r="I31" s="27"/>
      <c r="J31" s="27"/>
      <c r="K31" s="27"/>
      <c r="L31" s="153"/>
      <c r="M31" s="183"/>
      <c r="N31" s="184"/>
      <c r="O31" s="184"/>
      <c r="P31" s="184"/>
      <c r="Q31" s="184"/>
      <c r="R31" s="185"/>
      <c r="S31" s="161"/>
      <c r="T31" s="164"/>
      <c r="U31" s="165"/>
      <c r="V31" s="167"/>
      <c r="W31" s="179"/>
      <c r="Z31" s="1"/>
    </row>
    <row r="32" spans="1:27" ht="51.95" customHeight="1">
      <c r="A32" s="33">
        <v>26</v>
      </c>
      <c r="B32" s="27" t="s">
        <v>65</v>
      </c>
      <c r="C32" s="40">
        <v>3</v>
      </c>
      <c r="D32" s="40">
        <v>1</v>
      </c>
      <c r="E32" s="40">
        <v>2</v>
      </c>
      <c r="F32" s="40"/>
      <c r="G32" s="27"/>
      <c r="H32" s="27"/>
      <c r="I32" s="27"/>
      <c r="J32" s="27"/>
      <c r="K32" s="27"/>
      <c r="L32" s="186">
        <v>3</v>
      </c>
      <c r="M32" s="180" t="s">
        <v>128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33">
        <v>27</v>
      </c>
      <c r="B33" s="27" t="s">
        <v>62</v>
      </c>
      <c r="C33" s="40">
        <v>9</v>
      </c>
      <c r="D33" s="40">
        <v>6</v>
      </c>
      <c r="E33" s="40">
        <v>3</v>
      </c>
      <c r="F33" s="40"/>
      <c r="G33" s="27"/>
      <c r="H33" s="27"/>
      <c r="I33" s="27"/>
      <c r="J33" s="27"/>
      <c r="K33" s="27"/>
      <c r="L33" s="186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33">
        <v>28</v>
      </c>
      <c r="B34" s="27" t="s">
        <v>36</v>
      </c>
      <c r="C34" s="40">
        <v>1</v>
      </c>
      <c r="D34" s="40"/>
      <c r="E34" s="40">
        <v>1</v>
      </c>
      <c r="F34" s="40"/>
      <c r="G34" s="27"/>
      <c r="H34" s="27"/>
      <c r="I34" s="27"/>
      <c r="J34" s="27"/>
      <c r="K34" s="27"/>
      <c r="L34" s="152">
        <v>4</v>
      </c>
      <c r="M34" s="384" t="s">
        <v>155</v>
      </c>
      <c r="N34" s="385"/>
      <c r="O34" s="385"/>
      <c r="P34" s="385"/>
      <c r="Q34" s="385"/>
      <c r="R34" s="386"/>
      <c r="S34" s="160"/>
      <c r="T34" s="162"/>
      <c r="U34" s="163"/>
      <c r="V34" s="166"/>
      <c r="W34" s="16"/>
      <c r="Z34" s="1"/>
    </row>
    <row r="35" spans="1:27" ht="51.95" customHeight="1">
      <c r="A35" s="33">
        <v>29</v>
      </c>
      <c r="B35" s="27" t="s">
        <v>93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3"/>
      <c r="M35" s="387"/>
      <c r="N35" s="388"/>
      <c r="O35" s="388"/>
      <c r="P35" s="388"/>
      <c r="Q35" s="388"/>
      <c r="R35" s="389"/>
      <c r="S35" s="161"/>
      <c r="T35" s="164"/>
      <c r="U35" s="165"/>
      <c r="V35" s="167"/>
      <c r="W35" s="16"/>
      <c r="Z35" s="1"/>
    </row>
    <row r="36" spans="1:27" ht="51.95" customHeight="1">
      <c r="A36" s="33">
        <v>30</v>
      </c>
      <c r="B36" s="27" t="s">
        <v>46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27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  <c r="Z36" s="1"/>
    </row>
    <row r="37" spans="1:27" ht="51.95" customHeight="1">
      <c r="A37" s="33">
        <v>31</v>
      </c>
      <c r="B37" s="27" t="s">
        <v>95</v>
      </c>
      <c r="C37" s="40">
        <v>8</v>
      </c>
      <c r="D37" s="40"/>
      <c r="E37" s="40">
        <v>8</v>
      </c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33">
        <v>32</v>
      </c>
      <c r="B38" s="70" t="s">
        <v>118</v>
      </c>
      <c r="C38" s="64">
        <v>4</v>
      </c>
      <c r="D38" s="64">
        <v>4</v>
      </c>
      <c r="E38" s="64"/>
      <c r="F38" s="64"/>
      <c r="G38" s="70"/>
      <c r="H38" s="70"/>
      <c r="I38" s="70"/>
      <c r="J38" s="70"/>
      <c r="K38" s="7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93</v>
      </c>
      <c r="D39" s="61">
        <f>SUM(D7:D38)</f>
        <v>52</v>
      </c>
      <c r="E39" s="61">
        <f>SUM(E7:E38)</f>
        <v>40</v>
      </c>
      <c r="F39" s="151" t="s">
        <v>9</v>
      </c>
      <c r="G39" s="151"/>
      <c r="H39" s="75">
        <f>SUM(H7:H37)</f>
        <v>73</v>
      </c>
      <c r="I39" s="60">
        <f>SUM(I7:I37)</f>
        <v>64</v>
      </c>
      <c r="J39" s="75">
        <f>SUM(J7:J37)</f>
        <v>5</v>
      </c>
      <c r="K39" s="75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48.5" customHeight="1">
      <c r="A42" s="13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1</v>
      </c>
      <c r="I42" s="136"/>
      <c r="J42" s="135"/>
      <c r="K42" s="134">
        <v>99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80">
        <f>K42+H42</f>
        <v>100</v>
      </c>
      <c r="Y42" s="8"/>
    </row>
    <row r="43" spans="1:27" ht="110.25" customHeight="1">
      <c r="A43" s="13">
        <v>2</v>
      </c>
      <c r="B43" s="74" t="s">
        <v>136</v>
      </c>
      <c r="C43" s="117"/>
      <c r="D43" s="118"/>
      <c r="E43" s="109">
        <f>2527+29</f>
        <v>2556</v>
      </c>
      <c r="F43" s="111"/>
      <c r="G43" s="110"/>
      <c r="H43" s="134">
        <v>1</v>
      </c>
      <c r="I43" s="136"/>
      <c r="J43" s="135"/>
      <c r="K43" s="134">
        <v>682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80">
        <f t="shared" ref="W43:W50" si="2">K43+H43</f>
        <v>683</v>
      </c>
      <c r="X43" s="2"/>
      <c r="Y43" s="7"/>
      <c r="Z43" s="7"/>
      <c r="AA43" s="9"/>
    </row>
    <row r="44" spans="1:27" ht="90.75" customHeight="1">
      <c r="A44" s="13">
        <v>3</v>
      </c>
      <c r="B44" s="74" t="s">
        <v>80</v>
      </c>
      <c r="C44" s="122"/>
      <c r="D44" s="123"/>
      <c r="E44" s="109">
        <v>118000</v>
      </c>
      <c r="F44" s="111"/>
      <c r="G44" s="110"/>
      <c r="H44" s="109">
        <v>740</v>
      </c>
      <c r="I44" s="111"/>
      <c r="J44" s="110"/>
      <c r="K44" s="109">
        <v>121926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122666</v>
      </c>
      <c r="X44" s="2"/>
      <c r="Y44" s="7"/>
      <c r="Z44" s="7"/>
      <c r="AA44" s="9"/>
    </row>
    <row r="45" spans="1:27" ht="65.099999999999994" customHeight="1">
      <c r="A45" s="13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/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13">
        <v>5</v>
      </c>
      <c r="B46" s="74" t="s">
        <v>114</v>
      </c>
      <c r="C46" s="122">
        <v>11</v>
      </c>
      <c r="D46" s="123"/>
      <c r="E46" s="109">
        <f>1184+11</f>
        <v>1195</v>
      </c>
      <c r="F46" s="111"/>
      <c r="G46" s="110"/>
      <c r="H46" s="109">
        <v>10</v>
      </c>
      <c r="I46" s="111"/>
      <c r="J46" s="110"/>
      <c r="K46" s="109">
        <v>1194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1204</v>
      </c>
      <c r="X46" s="2"/>
      <c r="Y46" s="7"/>
      <c r="Z46" s="7"/>
      <c r="AA46" s="9"/>
    </row>
    <row r="47" spans="1:27" ht="65.099999999999994" customHeight="1">
      <c r="A47" s="13">
        <v>6</v>
      </c>
      <c r="B47" s="74" t="s">
        <v>115</v>
      </c>
      <c r="C47" s="122">
        <v>22</v>
      </c>
      <c r="D47" s="123"/>
      <c r="E47" s="109">
        <f>7132+22</f>
        <v>7154</v>
      </c>
      <c r="F47" s="111"/>
      <c r="G47" s="110"/>
      <c r="H47" s="109">
        <v>22</v>
      </c>
      <c r="I47" s="111"/>
      <c r="J47" s="110"/>
      <c r="K47" s="109">
        <v>71154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71176</v>
      </c>
      <c r="X47" s="2"/>
      <c r="Y47" s="7"/>
      <c r="Z47" s="7"/>
      <c r="AA47" s="9"/>
    </row>
    <row r="48" spans="1:27" ht="65.099999999999994" customHeight="1">
      <c r="A48" s="13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/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13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/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13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/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65.099999999999994" customHeight="1">
      <c r="A51" s="13">
        <v>10</v>
      </c>
      <c r="B51" s="74" t="s">
        <v>174</v>
      </c>
      <c r="C51" s="109"/>
      <c r="D51" s="110"/>
      <c r="E51" s="109">
        <v>127</v>
      </c>
      <c r="F51" s="111"/>
      <c r="G51" s="110"/>
      <c r="H51" s="109">
        <v>0</v>
      </c>
      <c r="I51" s="111"/>
      <c r="J51" s="110"/>
      <c r="K51" s="109">
        <v>0</v>
      </c>
      <c r="L51" s="111"/>
      <c r="M51" s="111"/>
      <c r="N51" s="110"/>
      <c r="O51" s="399"/>
      <c r="P51" s="399"/>
      <c r="Q51" s="399"/>
      <c r="R51" s="399"/>
      <c r="S51" s="399"/>
      <c r="T51" s="399"/>
      <c r="U51" s="399"/>
      <c r="V51" s="400"/>
      <c r="W51" s="22"/>
      <c r="X51" s="2"/>
      <c r="Y51" s="7"/>
      <c r="Z51" s="7"/>
      <c r="AA51" s="9"/>
    </row>
    <row r="52" spans="1:27" ht="36.75" customHeight="1">
      <c r="A52" s="114" t="s">
        <v>90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6"/>
      <c r="W52" s="21"/>
      <c r="X52" s="2"/>
      <c r="Y52" s="7">
        <f>14050+100</f>
        <v>14150</v>
      </c>
      <c r="Z52" s="7"/>
      <c r="AA52" s="9"/>
    </row>
    <row r="53" spans="1:27" s="44" customFormat="1" ht="54" customHeight="1">
      <c r="A53" s="93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5"/>
      <c r="W53" s="41"/>
      <c r="X53" s="42"/>
      <c r="Y53" s="42"/>
      <c r="Z53" s="42"/>
      <c r="AA53" s="43"/>
    </row>
    <row r="54" spans="1:27" ht="42.75" customHeight="1">
      <c r="A54" s="96" t="s">
        <v>88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8"/>
      <c r="O54" s="99" t="s">
        <v>18</v>
      </c>
      <c r="P54" s="99"/>
      <c r="Q54" s="99"/>
      <c r="R54" s="99"/>
      <c r="S54" s="99"/>
      <c r="T54" s="99"/>
      <c r="U54" s="99"/>
      <c r="V54" s="100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5" t="s">
        <v>67</v>
      </c>
      <c r="P55" s="105"/>
      <c r="Q55" s="105"/>
      <c r="R55" s="105"/>
      <c r="S55" s="105"/>
      <c r="T55" s="105"/>
      <c r="U55" s="105"/>
      <c r="V55" s="106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/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>
      <c r="A58" s="10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5"/>
      <c r="P58" s="105"/>
      <c r="Q58" s="105"/>
      <c r="R58" s="105"/>
      <c r="S58" s="105"/>
      <c r="T58" s="105"/>
      <c r="U58" s="105"/>
      <c r="V58" s="106"/>
    </row>
    <row r="59" spans="1:27" ht="45" customHeight="1" thickBot="1">
      <c r="A59" s="103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7"/>
      <c r="P59" s="107"/>
      <c r="Q59" s="107"/>
      <c r="R59" s="107"/>
      <c r="S59" s="107"/>
      <c r="T59" s="107"/>
      <c r="U59" s="107"/>
      <c r="V59" s="108"/>
    </row>
    <row r="62" spans="1:27">
      <c r="S62" s="28"/>
      <c r="T62" s="28"/>
      <c r="U62" s="28"/>
    </row>
    <row r="63" spans="1:27">
      <c r="G63" s="12" t="s">
        <v>58</v>
      </c>
      <c r="H63" s="24">
        <v>1</v>
      </c>
      <c r="I63" s="24"/>
      <c r="J63" s="24">
        <v>1</v>
      </c>
      <c r="S63" s="28"/>
      <c r="T63" s="28">
        <v>17</v>
      </c>
      <c r="U63" s="29"/>
    </row>
    <row r="64" spans="1:27">
      <c r="G64" s="12" t="s">
        <v>103</v>
      </c>
      <c r="H64" s="24">
        <v>1</v>
      </c>
      <c r="I64" s="24">
        <v>1</v>
      </c>
      <c r="J64" s="24"/>
      <c r="S64" s="28"/>
      <c r="T64" s="28">
        <v>17</v>
      </c>
      <c r="U64" s="30"/>
    </row>
    <row r="65" spans="1:31">
      <c r="G65" s="12" t="s">
        <v>44</v>
      </c>
      <c r="H65" s="24">
        <v>2</v>
      </c>
      <c r="I65" s="24">
        <v>2</v>
      </c>
      <c r="J65" s="24"/>
      <c r="S65" s="28"/>
      <c r="T65" s="28">
        <v>17</v>
      </c>
      <c r="U65" s="28"/>
    </row>
    <row r="66" spans="1:31">
      <c r="G66" s="12" t="s">
        <v>8</v>
      </c>
      <c r="H66" s="24">
        <v>8</v>
      </c>
      <c r="I66" s="24">
        <v>8</v>
      </c>
      <c r="J66" s="24"/>
      <c r="T66" s="3">
        <v>17</v>
      </c>
    </row>
    <row r="67" spans="1:31">
      <c r="G67" s="12" t="s">
        <v>101</v>
      </c>
      <c r="H67" s="24">
        <v>1</v>
      </c>
      <c r="I67" s="24">
        <v>1</v>
      </c>
      <c r="J67" s="24"/>
      <c r="T67" s="3">
        <v>19</v>
      </c>
    </row>
    <row r="68" spans="1:31">
      <c r="G68" s="12" t="s">
        <v>63</v>
      </c>
      <c r="H68" s="24">
        <v>8</v>
      </c>
      <c r="I68" s="24">
        <v>7</v>
      </c>
      <c r="J68" s="24">
        <v>1</v>
      </c>
      <c r="T68" s="3">
        <v>20</v>
      </c>
    </row>
    <row r="69" spans="1:31">
      <c r="G69" s="12" t="s">
        <v>17</v>
      </c>
      <c r="H69" s="24">
        <v>7</v>
      </c>
      <c r="I69" s="24">
        <v>6</v>
      </c>
      <c r="J69" s="24">
        <v>1</v>
      </c>
      <c r="T69" s="3">
        <v>21</v>
      </c>
    </row>
    <row r="70" spans="1:31">
      <c r="G70" s="12" t="s">
        <v>65</v>
      </c>
      <c r="H70" s="24">
        <v>2</v>
      </c>
      <c r="I70" s="24">
        <v>2</v>
      </c>
      <c r="J70" s="24"/>
      <c r="T70" s="3">
        <v>18</v>
      </c>
    </row>
    <row r="71" spans="1:31">
      <c r="G71" s="12" t="s">
        <v>62</v>
      </c>
      <c r="H71" s="24">
        <v>7</v>
      </c>
      <c r="I71" s="24">
        <v>6</v>
      </c>
      <c r="J71" s="24">
        <v>1</v>
      </c>
      <c r="T71" s="3">
        <v>18.600000000000001</v>
      </c>
    </row>
    <row r="72" spans="1:31" s="3" customFormat="1">
      <c r="A72"/>
      <c r="B72" s="15"/>
      <c r="G72" s="12" t="s">
        <v>36</v>
      </c>
      <c r="H72" s="24">
        <f>J73+I72</f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43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45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93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46</v>
      </c>
      <c r="H76" s="24">
        <v>1</v>
      </c>
      <c r="I76" s="24">
        <v>1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60</v>
      </c>
      <c r="H77" s="24">
        <v>4</v>
      </c>
      <c r="I77" s="24">
        <v>4</v>
      </c>
      <c r="J77" s="2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48</v>
      </c>
      <c r="H78" s="24">
        <v>1</v>
      </c>
      <c r="I78" s="24"/>
      <c r="J78" s="24">
        <v>1</v>
      </c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G79" s="12" t="s">
        <v>95</v>
      </c>
      <c r="H79" s="24">
        <v>6</v>
      </c>
      <c r="I79" s="24">
        <v>6</v>
      </c>
      <c r="J79" s="2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24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22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19</v>
      </c>
      <c r="W111" s="20"/>
      <c r="X111"/>
      <c r="Y111"/>
      <c r="Z111"/>
      <c r="AA111"/>
      <c r="AB111"/>
      <c r="AC111"/>
      <c r="AD111"/>
      <c r="AE111"/>
    </row>
    <row r="112" spans="1:31" s="3" customFormat="1">
      <c r="A112"/>
      <c r="B112" s="15"/>
      <c r="J112" s="4"/>
      <c r="N112" s="3">
        <v>22</v>
      </c>
      <c r="W112" s="20"/>
      <c r="X112"/>
      <c r="Y112"/>
      <c r="Z112"/>
      <c r="AA112"/>
      <c r="AB112"/>
      <c r="AC112"/>
      <c r="AD112"/>
      <c r="AE112"/>
    </row>
  </sheetData>
  <autoFilter ref="A6:AE52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52:V52"/>
    <mergeCell ref="A53:V53"/>
    <mergeCell ref="A54:N54"/>
    <mergeCell ref="O54:V54"/>
    <mergeCell ref="A55:N59"/>
    <mergeCell ref="O55:V59"/>
    <mergeCell ref="C50:D50"/>
    <mergeCell ref="E50:G50"/>
    <mergeCell ref="H50:J50"/>
    <mergeCell ref="K50:N50"/>
    <mergeCell ref="O50:V50"/>
    <mergeCell ref="C51:D51"/>
    <mergeCell ref="E51:G51"/>
    <mergeCell ref="H51:J51"/>
    <mergeCell ref="K51:N51"/>
    <mergeCell ref="O51:V51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1:D41"/>
    <mergeCell ref="E41:G41"/>
    <mergeCell ref="H41:J41"/>
    <mergeCell ref="K41:N41"/>
    <mergeCell ref="O41:R41"/>
    <mergeCell ref="M36:R36"/>
    <mergeCell ref="M37:R37"/>
    <mergeCell ref="M38:R38"/>
    <mergeCell ref="A39:B39"/>
    <mergeCell ref="F39:G39"/>
    <mergeCell ref="M39:R39"/>
    <mergeCell ref="L34:L35"/>
    <mergeCell ref="M34:R35"/>
    <mergeCell ref="S34:S35"/>
    <mergeCell ref="T34:U35"/>
    <mergeCell ref="V34:V35"/>
    <mergeCell ref="L28:V28"/>
    <mergeCell ref="M29:R29"/>
    <mergeCell ref="A40:N40"/>
    <mergeCell ref="O40:V40"/>
    <mergeCell ref="W29:W33"/>
    <mergeCell ref="L30:L31"/>
    <mergeCell ref="M30:R31"/>
    <mergeCell ref="S30:S31"/>
    <mergeCell ref="T30:U31"/>
    <mergeCell ref="V30:V31"/>
    <mergeCell ref="L32:L33"/>
    <mergeCell ref="M32:R33"/>
    <mergeCell ref="L22:L27"/>
    <mergeCell ref="M22:R27"/>
    <mergeCell ref="S22:S27"/>
    <mergeCell ref="T22:U27"/>
    <mergeCell ref="V22:V27"/>
    <mergeCell ref="W25:W27"/>
    <mergeCell ref="S32:S33"/>
    <mergeCell ref="T32:U33"/>
    <mergeCell ref="V32:V33"/>
    <mergeCell ref="V17:V18"/>
    <mergeCell ref="L19:L21"/>
    <mergeCell ref="M19:R21"/>
    <mergeCell ref="S19:S21"/>
    <mergeCell ref="T19:U21"/>
    <mergeCell ref="V19:V21"/>
    <mergeCell ref="M16:R16"/>
    <mergeCell ref="T16:U16"/>
    <mergeCell ref="L17:L18"/>
    <mergeCell ref="M17:R18"/>
    <mergeCell ref="S17:S18"/>
    <mergeCell ref="T17:U1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</mergeCells>
  <printOptions horizontalCentered="1" verticalCentered="1"/>
  <pageMargins left="0.15" right="0.15" top="0.5" bottom="0.8" header="0" footer="0.5"/>
  <pageSetup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97ED-7BC6-4D74-AA3B-85375C4F0CE6}">
  <sheetPr>
    <pageSetUpPr fitToPage="1"/>
  </sheetPr>
  <dimension ref="A1:AH113"/>
  <sheetViews>
    <sheetView rightToLeft="1" view="pageBreakPreview" topLeftCell="A10" zoomScale="40" zoomScaleNormal="110" zoomScaleSheetLayoutView="40" workbookViewId="0">
      <selection activeCell="M16" sqref="M16:R17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0.140625" style="3" customWidth="1"/>
    <col min="10" max="10" width="9.5703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145</v>
      </c>
      <c r="S1" s="297"/>
      <c r="T1" s="300" t="s">
        <v>189</v>
      </c>
      <c r="U1" s="300"/>
      <c r="V1" s="420" t="s">
        <v>190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421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421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191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71" t="s">
        <v>111</v>
      </c>
      <c r="I7" s="71"/>
      <c r="J7" s="71"/>
      <c r="K7" s="71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16" t="s">
        <v>82</v>
      </c>
      <c r="W7" s="19"/>
    </row>
    <row r="8" spans="1:34" ht="51.9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71">
        <f t="shared" ref="H8" si="1">K8+J8+I8</f>
        <v>1</v>
      </c>
      <c r="I8" s="71">
        <v>1</v>
      </c>
      <c r="J8" s="71"/>
      <c r="K8" s="71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17"/>
      <c r="W8" s="19"/>
      <c r="AA8" s="6"/>
      <c r="AB8" s="6"/>
      <c r="AC8" s="6"/>
      <c r="AD8" s="6"/>
      <c r="AE8" s="6"/>
    </row>
    <row r="9" spans="1:34" ht="51.9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72">
        <v>1</v>
      </c>
      <c r="I9" s="72">
        <v>1</v>
      </c>
      <c r="J9" s="71"/>
      <c r="K9" s="71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349">
        <v>492480</v>
      </c>
      <c r="X9" s="5"/>
      <c r="Y9" s="5">
        <v>3000</v>
      </c>
      <c r="Z9" s="5"/>
    </row>
    <row r="10" spans="1:34" ht="51.9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72">
        <v>1</v>
      </c>
      <c r="I10" s="72">
        <v>1</v>
      </c>
      <c r="J10" s="71"/>
      <c r="K10" s="71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350"/>
      <c r="W10" s="19"/>
      <c r="AA10" s="6"/>
      <c r="AB10" s="6"/>
      <c r="AC10" s="6"/>
      <c r="AD10" s="6"/>
      <c r="AE10" s="6"/>
    </row>
    <row r="11" spans="1:34" ht="60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72">
        <v>6</v>
      </c>
      <c r="I11" s="72">
        <v>6</v>
      </c>
      <c r="J11" s="71"/>
      <c r="K11" s="71"/>
      <c r="L11" s="186">
        <v>2</v>
      </c>
      <c r="M11" s="390" t="s">
        <v>192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349">
        <v>219115</v>
      </c>
      <c r="W11" s="236">
        <f>V11+T11</f>
        <v>219115</v>
      </c>
      <c r="AA11" s="6"/>
      <c r="AB11" s="6"/>
      <c r="AC11" s="6"/>
      <c r="AD11" s="6"/>
      <c r="AE11" s="6"/>
    </row>
    <row r="12" spans="1:34" ht="60" customHeight="1">
      <c r="A12" s="33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71">
        <v>1</v>
      </c>
      <c r="I12" s="71">
        <v>1</v>
      </c>
      <c r="J12" s="71"/>
      <c r="K12" s="71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36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33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72">
        <v>1</v>
      </c>
      <c r="I13" s="72"/>
      <c r="J13" s="72"/>
      <c r="K13" s="71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36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33">
        <v>8</v>
      </c>
      <c r="B14" s="27" t="s">
        <v>6</v>
      </c>
      <c r="C14" s="40">
        <v>3</v>
      </c>
      <c r="D14" s="40">
        <v>2</v>
      </c>
      <c r="E14" s="40"/>
      <c r="F14" s="40">
        <v>8</v>
      </c>
      <c r="G14" s="24" t="s">
        <v>109</v>
      </c>
      <c r="H14" s="71">
        <v>2</v>
      </c>
      <c r="I14" s="71">
        <v>2</v>
      </c>
      <c r="J14" s="71"/>
      <c r="K14" s="71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350"/>
      <c r="W14" s="236"/>
    </row>
    <row r="15" spans="1:34" ht="51.95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71">
        <v>2</v>
      </c>
      <c r="I15" s="71">
        <v>2</v>
      </c>
      <c r="J15" s="71"/>
      <c r="K15" s="71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79">
        <v>51330</v>
      </c>
      <c r="W15" s="39">
        <f>V15+T15</f>
        <v>51330</v>
      </c>
    </row>
    <row r="16" spans="1:34" ht="49.5" customHeight="1">
      <c r="A16" s="428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440">
        <v>3</v>
      </c>
      <c r="I16" s="440">
        <v>2</v>
      </c>
      <c r="J16" s="440">
        <v>1</v>
      </c>
      <c r="K16" s="440"/>
      <c r="L16" s="152">
        <v>4</v>
      </c>
      <c r="M16" s="431" t="s">
        <v>193</v>
      </c>
      <c r="N16" s="432"/>
      <c r="O16" s="432"/>
      <c r="P16" s="432"/>
      <c r="Q16" s="432"/>
      <c r="R16" s="433"/>
      <c r="S16" s="434" t="s">
        <v>85</v>
      </c>
      <c r="T16" s="367">
        <v>0</v>
      </c>
      <c r="U16" s="368"/>
      <c r="V16" s="349">
        <v>43476</v>
      </c>
      <c r="W16" s="47">
        <f>V16+T16</f>
        <v>43476</v>
      </c>
    </row>
    <row r="17" spans="1:27" ht="53.25" customHeight="1">
      <c r="A17" s="429"/>
      <c r="B17" s="437"/>
      <c r="C17" s="153"/>
      <c r="D17" s="153"/>
      <c r="E17" s="153"/>
      <c r="F17" s="153"/>
      <c r="G17" s="439"/>
      <c r="H17" s="441"/>
      <c r="I17" s="441"/>
      <c r="J17" s="441"/>
      <c r="K17" s="441"/>
      <c r="L17" s="153"/>
      <c r="M17" s="144"/>
      <c r="N17" s="145"/>
      <c r="O17" s="145"/>
      <c r="P17" s="145"/>
      <c r="Q17" s="145"/>
      <c r="R17" s="146"/>
      <c r="S17" s="435"/>
      <c r="T17" s="371"/>
      <c r="U17" s="372"/>
      <c r="V17" s="350"/>
      <c r="W17" s="47"/>
    </row>
    <row r="18" spans="1:27" ht="51.95" customHeight="1">
      <c r="A18" s="33">
        <v>11</v>
      </c>
      <c r="B18" s="27" t="s">
        <v>21</v>
      </c>
      <c r="C18" s="40">
        <v>2</v>
      </c>
      <c r="D18" s="40">
        <v>1</v>
      </c>
      <c r="E18" s="40">
        <v>1</v>
      </c>
      <c r="F18" s="40">
        <v>11</v>
      </c>
      <c r="G18" s="27" t="s">
        <v>102</v>
      </c>
      <c r="H18" s="71">
        <v>2</v>
      </c>
      <c r="I18" s="71">
        <v>2</v>
      </c>
      <c r="J18" s="71"/>
      <c r="K18" s="71"/>
      <c r="L18" s="186">
        <v>5</v>
      </c>
      <c r="M18" s="422" t="s">
        <v>194</v>
      </c>
      <c r="N18" s="423"/>
      <c r="O18" s="423"/>
      <c r="P18" s="423"/>
      <c r="Q18" s="423"/>
      <c r="R18" s="424"/>
      <c r="S18" s="160" t="s">
        <v>85</v>
      </c>
      <c r="T18" s="367">
        <v>1570</v>
      </c>
      <c r="U18" s="368"/>
      <c r="V18" s="349">
        <v>98596</v>
      </c>
      <c r="W18" s="430">
        <f>V18+T18</f>
        <v>100166</v>
      </c>
      <c r="X18">
        <v>1</v>
      </c>
      <c r="Z18" s="1"/>
    </row>
    <row r="19" spans="1:27" ht="84" customHeight="1">
      <c r="A19" s="33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71">
        <v>5</v>
      </c>
      <c r="I19" s="71">
        <v>5</v>
      </c>
      <c r="J19" s="71"/>
      <c r="K19" s="71"/>
      <c r="L19" s="186"/>
      <c r="M19" s="425"/>
      <c r="N19" s="426"/>
      <c r="O19" s="426"/>
      <c r="P19" s="426"/>
      <c r="Q19" s="426"/>
      <c r="R19" s="427"/>
      <c r="S19" s="161"/>
      <c r="T19" s="371"/>
      <c r="U19" s="372"/>
      <c r="V19" s="350"/>
      <c r="W19" s="430"/>
      <c r="Z19" s="1"/>
    </row>
    <row r="20" spans="1:27" ht="51.95" customHeight="1">
      <c r="A20" s="33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71">
        <v>2</v>
      </c>
      <c r="I20" s="71">
        <v>2</v>
      </c>
      <c r="J20" s="71"/>
      <c r="K20" s="71"/>
      <c r="L20" s="152">
        <v>6</v>
      </c>
      <c r="M20" s="212" t="s">
        <v>159</v>
      </c>
      <c r="N20" s="213"/>
      <c r="O20" s="213"/>
      <c r="P20" s="213"/>
      <c r="Q20" s="213"/>
      <c r="R20" s="214"/>
      <c r="S20" s="160" t="s">
        <v>85</v>
      </c>
      <c r="T20" s="367">
        <v>0</v>
      </c>
      <c r="U20" s="368"/>
      <c r="V20" s="349">
        <v>40481</v>
      </c>
      <c r="W20" s="32"/>
      <c r="Z20" s="1"/>
    </row>
    <row r="21" spans="1:27" ht="51.95" customHeight="1">
      <c r="A21" s="33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71">
        <v>1</v>
      </c>
      <c r="I21" s="71"/>
      <c r="J21" s="71">
        <v>1</v>
      </c>
      <c r="K21" s="71"/>
      <c r="L21" s="187"/>
      <c r="M21" s="215"/>
      <c r="N21" s="216"/>
      <c r="O21" s="216"/>
      <c r="P21" s="216"/>
      <c r="Q21" s="216"/>
      <c r="R21" s="217"/>
      <c r="S21" s="221"/>
      <c r="T21" s="369"/>
      <c r="U21" s="370"/>
      <c r="V21" s="366"/>
      <c r="W21" s="47">
        <f>V20+T20</f>
        <v>40481</v>
      </c>
      <c r="Z21" s="1"/>
    </row>
    <row r="22" spans="1:27" ht="51.95" customHeight="1">
      <c r="A22" s="33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71">
        <v>1</v>
      </c>
      <c r="I22" s="71">
        <v>1</v>
      </c>
      <c r="J22" s="73"/>
      <c r="K22" s="71"/>
      <c r="L22" s="187"/>
      <c r="M22" s="218"/>
      <c r="N22" s="219"/>
      <c r="O22" s="219"/>
      <c r="P22" s="219"/>
      <c r="Q22" s="219"/>
      <c r="R22" s="220"/>
      <c r="S22" s="161"/>
      <c r="T22" s="371"/>
      <c r="U22" s="372"/>
      <c r="V22" s="350"/>
      <c r="W22" s="32"/>
      <c r="Z22" s="1"/>
    </row>
    <row r="23" spans="1:27" ht="51.95" customHeight="1">
      <c r="A23" s="33">
        <v>16</v>
      </c>
      <c r="B23" s="27" t="s">
        <v>8</v>
      </c>
      <c r="C23" s="59">
        <v>12</v>
      </c>
      <c r="D23" s="40">
        <v>10</v>
      </c>
      <c r="E23" s="40">
        <v>2</v>
      </c>
      <c r="F23" s="40">
        <v>16</v>
      </c>
      <c r="G23" s="27" t="s">
        <v>7</v>
      </c>
      <c r="H23" s="71">
        <v>3</v>
      </c>
      <c r="I23" s="71">
        <v>3</v>
      </c>
      <c r="J23" s="71"/>
      <c r="K23" s="71"/>
      <c r="L23" s="152">
        <v>7</v>
      </c>
      <c r="M23" s="401" t="s">
        <v>195</v>
      </c>
      <c r="N23" s="402"/>
      <c r="O23" s="402"/>
      <c r="P23" s="402"/>
      <c r="Q23" s="402"/>
      <c r="R23" s="403"/>
      <c r="S23" s="197" t="s">
        <v>85</v>
      </c>
      <c r="T23" s="360">
        <v>744</v>
      </c>
      <c r="U23" s="361"/>
      <c r="V23" s="349">
        <v>31268</v>
      </c>
      <c r="Z23" s="1"/>
    </row>
    <row r="24" spans="1:27" ht="51.95" customHeight="1">
      <c r="A24" s="33">
        <v>17</v>
      </c>
      <c r="B24" s="27" t="s">
        <v>63</v>
      </c>
      <c r="C24" s="59">
        <v>14</v>
      </c>
      <c r="D24" s="40">
        <v>12</v>
      </c>
      <c r="E24" s="40">
        <v>2</v>
      </c>
      <c r="F24" s="40">
        <v>17</v>
      </c>
      <c r="G24" s="27" t="s">
        <v>14</v>
      </c>
      <c r="H24" s="71">
        <v>4</v>
      </c>
      <c r="I24" s="71">
        <v>3</v>
      </c>
      <c r="J24" s="71"/>
      <c r="K24" s="71">
        <v>1</v>
      </c>
      <c r="L24" s="187"/>
      <c r="M24" s="404"/>
      <c r="N24" s="405"/>
      <c r="O24" s="405"/>
      <c r="P24" s="405"/>
      <c r="Q24" s="405"/>
      <c r="R24" s="406"/>
      <c r="S24" s="198"/>
      <c r="T24" s="362"/>
      <c r="U24" s="363"/>
      <c r="V24" s="366"/>
      <c r="W24" s="32"/>
      <c r="Z24" s="1"/>
    </row>
    <row r="25" spans="1:27" ht="51.95" customHeight="1">
      <c r="A25" s="33">
        <v>18</v>
      </c>
      <c r="B25" s="27" t="s">
        <v>17</v>
      </c>
      <c r="C25" s="40">
        <v>7</v>
      </c>
      <c r="D25" s="40">
        <v>5</v>
      </c>
      <c r="E25" s="40">
        <v>2</v>
      </c>
      <c r="F25" s="40">
        <v>18</v>
      </c>
      <c r="G25" s="27" t="s">
        <v>15</v>
      </c>
      <c r="H25" s="71">
        <v>1</v>
      </c>
      <c r="I25" s="71">
        <v>1</v>
      </c>
      <c r="J25" s="71"/>
      <c r="K25" s="71"/>
      <c r="L25" s="187"/>
      <c r="M25" s="404"/>
      <c r="N25" s="405"/>
      <c r="O25" s="405"/>
      <c r="P25" s="405"/>
      <c r="Q25" s="405"/>
      <c r="R25" s="406"/>
      <c r="S25" s="198"/>
      <c r="T25" s="362"/>
      <c r="U25" s="363"/>
      <c r="V25" s="366"/>
      <c r="W25" s="32"/>
      <c r="Z25" s="1">
        <v>35734</v>
      </c>
      <c r="AA25">
        <f>Z25/Z26</f>
        <v>0.30193748996611719</v>
      </c>
    </row>
    <row r="26" spans="1:27" s="6" customFormat="1" ht="51.95" customHeight="1">
      <c r="A26" s="33">
        <v>19</v>
      </c>
      <c r="B26" s="27" t="s">
        <v>43</v>
      </c>
      <c r="C26" s="40">
        <v>1</v>
      </c>
      <c r="D26" s="40">
        <v>1</v>
      </c>
      <c r="E26" s="40"/>
      <c r="F26" s="40">
        <v>19</v>
      </c>
      <c r="G26" s="27" t="s">
        <v>40</v>
      </c>
      <c r="H26" s="71">
        <v>2</v>
      </c>
      <c r="I26" s="71">
        <v>2</v>
      </c>
      <c r="J26" s="71"/>
      <c r="K26" s="71"/>
      <c r="L26" s="187"/>
      <c r="M26" s="404"/>
      <c r="N26" s="405"/>
      <c r="O26" s="405"/>
      <c r="P26" s="405"/>
      <c r="Q26" s="405"/>
      <c r="R26" s="406"/>
      <c r="S26" s="198"/>
      <c r="T26" s="362"/>
      <c r="U26" s="363"/>
      <c r="V26" s="366"/>
      <c r="W26" s="209">
        <f>V23+T23</f>
        <v>32012</v>
      </c>
      <c r="Z26" s="34">
        <v>118349</v>
      </c>
    </row>
    <row r="27" spans="1:27" s="6" customFormat="1" ht="51.95" customHeight="1">
      <c r="A27" s="33">
        <v>20</v>
      </c>
      <c r="B27" s="27" t="s">
        <v>45</v>
      </c>
      <c r="C27" s="40">
        <v>2</v>
      </c>
      <c r="D27" s="40"/>
      <c r="E27" s="40">
        <v>2</v>
      </c>
      <c r="F27" s="40">
        <v>20</v>
      </c>
      <c r="G27" s="27" t="s">
        <v>53</v>
      </c>
      <c r="H27" s="71">
        <v>20</v>
      </c>
      <c r="I27" s="71">
        <v>20</v>
      </c>
      <c r="J27" s="71"/>
      <c r="K27" s="71"/>
      <c r="L27" s="187"/>
      <c r="M27" s="404"/>
      <c r="N27" s="405"/>
      <c r="O27" s="405"/>
      <c r="P27" s="405"/>
      <c r="Q27" s="405"/>
      <c r="R27" s="406"/>
      <c r="S27" s="198"/>
      <c r="T27" s="362"/>
      <c r="U27" s="363"/>
      <c r="V27" s="366"/>
      <c r="W27" s="209"/>
      <c r="Z27" s="34"/>
    </row>
    <row r="28" spans="1:27" s="6" customFormat="1" ht="51.95" customHeight="1">
      <c r="A28" s="33">
        <v>21</v>
      </c>
      <c r="B28" s="27" t="s">
        <v>58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71">
        <v>5</v>
      </c>
      <c r="I28" s="71">
        <v>5</v>
      </c>
      <c r="J28" s="71"/>
      <c r="K28" s="71"/>
      <c r="L28" s="153"/>
      <c r="M28" s="407"/>
      <c r="N28" s="408"/>
      <c r="O28" s="408"/>
      <c r="P28" s="408"/>
      <c r="Q28" s="408"/>
      <c r="R28" s="409"/>
      <c r="S28" s="199"/>
      <c r="T28" s="364"/>
      <c r="U28" s="365"/>
      <c r="V28" s="350"/>
      <c r="W28" s="209"/>
      <c r="Z28" s="34"/>
    </row>
    <row r="29" spans="1:27" ht="51.95" customHeight="1">
      <c r="A29" s="33">
        <v>22</v>
      </c>
      <c r="B29" s="27" t="s">
        <v>101</v>
      </c>
      <c r="C29" s="40">
        <v>1</v>
      </c>
      <c r="D29" s="40">
        <v>1</v>
      </c>
      <c r="E29" s="40"/>
      <c r="F29" s="40">
        <v>22</v>
      </c>
      <c r="G29" s="27" t="s">
        <v>55</v>
      </c>
      <c r="H29" s="71">
        <v>6</v>
      </c>
      <c r="I29" s="71">
        <v>6</v>
      </c>
      <c r="J29" s="71"/>
      <c r="K29" s="71"/>
      <c r="L29" s="168" t="s">
        <v>104</v>
      </c>
      <c r="M29" s="169"/>
      <c r="N29" s="169"/>
      <c r="O29" s="169"/>
      <c r="P29" s="169"/>
      <c r="Q29" s="169"/>
      <c r="R29" s="169"/>
      <c r="S29" s="169"/>
      <c r="T29" s="169"/>
      <c r="U29" s="169"/>
      <c r="V29" s="170"/>
      <c r="W29" s="32"/>
      <c r="Z29" s="1"/>
    </row>
    <row r="30" spans="1:27" ht="51.95" customHeight="1">
      <c r="A30" s="33">
        <v>23</v>
      </c>
      <c r="B30" s="27" t="s">
        <v>44</v>
      </c>
      <c r="C30" s="40">
        <v>2</v>
      </c>
      <c r="D30" s="40">
        <v>2</v>
      </c>
      <c r="E30" s="40"/>
      <c r="F30" s="40">
        <v>23</v>
      </c>
      <c r="G30" s="27" t="s">
        <v>73</v>
      </c>
      <c r="H30" s="71">
        <v>1</v>
      </c>
      <c r="I30" s="71">
        <v>1</v>
      </c>
      <c r="J30" s="71"/>
      <c r="K30" s="71"/>
      <c r="L30" s="40">
        <v>1</v>
      </c>
      <c r="M30" s="171" t="s">
        <v>120</v>
      </c>
      <c r="N30" s="172"/>
      <c r="O30" s="172"/>
      <c r="P30" s="172"/>
      <c r="Q30" s="172"/>
      <c r="R30" s="173"/>
      <c r="S30" s="49"/>
      <c r="T30" s="50"/>
      <c r="U30" s="51"/>
      <c r="V30" s="54"/>
      <c r="W30" s="178"/>
      <c r="Z30" s="1"/>
    </row>
    <row r="31" spans="1:27" ht="51.95" customHeight="1">
      <c r="A31" s="33">
        <v>24</v>
      </c>
      <c r="B31" s="27" t="s">
        <v>103</v>
      </c>
      <c r="C31" s="40">
        <v>1</v>
      </c>
      <c r="D31" s="40"/>
      <c r="E31" s="40">
        <v>1</v>
      </c>
      <c r="F31" s="40">
        <v>24</v>
      </c>
      <c r="G31" s="27" t="s">
        <v>97</v>
      </c>
      <c r="H31" s="71">
        <v>2</v>
      </c>
      <c r="I31" s="71"/>
      <c r="J31" s="71"/>
      <c r="K31" s="71"/>
      <c r="L31" s="152">
        <v>2</v>
      </c>
      <c r="M31" s="180" t="s">
        <v>119</v>
      </c>
      <c r="N31" s="181"/>
      <c r="O31" s="181"/>
      <c r="P31" s="181"/>
      <c r="Q31" s="181"/>
      <c r="R31" s="182"/>
      <c r="S31" s="160"/>
      <c r="T31" s="162"/>
      <c r="U31" s="163"/>
      <c r="V31" s="166"/>
      <c r="W31" s="179"/>
      <c r="Z31" s="1"/>
    </row>
    <row r="32" spans="1:27" ht="51.95" customHeight="1">
      <c r="A32" s="33">
        <v>25</v>
      </c>
      <c r="B32" s="27" t="s">
        <v>60</v>
      </c>
      <c r="C32" s="40">
        <v>3</v>
      </c>
      <c r="D32" s="40">
        <v>2</v>
      </c>
      <c r="E32" s="40">
        <v>1</v>
      </c>
      <c r="F32" s="40"/>
      <c r="G32" s="27"/>
      <c r="H32" s="27"/>
      <c r="I32" s="27"/>
      <c r="J32" s="27"/>
      <c r="K32" s="27"/>
      <c r="L32" s="153"/>
      <c r="M32" s="183"/>
      <c r="N32" s="184"/>
      <c r="O32" s="184"/>
      <c r="P32" s="184"/>
      <c r="Q32" s="184"/>
      <c r="R32" s="185"/>
      <c r="S32" s="161"/>
      <c r="T32" s="164"/>
      <c r="U32" s="165"/>
      <c r="V32" s="167"/>
      <c r="W32" s="179"/>
      <c r="Z32" s="1"/>
    </row>
    <row r="33" spans="1:27" ht="51.95" customHeight="1">
      <c r="A33" s="33">
        <v>26</v>
      </c>
      <c r="B33" s="27" t="s">
        <v>65</v>
      </c>
      <c r="C33" s="40">
        <v>3</v>
      </c>
      <c r="D33" s="40">
        <v>1</v>
      </c>
      <c r="E33" s="40">
        <v>2</v>
      </c>
      <c r="F33" s="40"/>
      <c r="G33" s="27"/>
      <c r="H33" s="27"/>
      <c r="I33" s="27"/>
      <c r="J33" s="27"/>
      <c r="K33" s="27"/>
      <c r="L33" s="186">
        <v>3</v>
      </c>
      <c r="M33" s="180" t="s">
        <v>128</v>
      </c>
      <c r="N33" s="181"/>
      <c r="O33" s="181"/>
      <c r="P33" s="181"/>
      <c r="Q33" s="181"/>
      <c r="R33" s="182"/>
      <c r="S33" s="160"/>
      <c r="T33" s="162"/>
      <c r="U33" s="163"/>
      <c r="V33" s="166"/>
      <c r="W33" s="179"/>
      <c r="Z33" s="1"/>
    </row>
    <row r="34" spans="1:27" ht="51.95" customHeight="1">
      <c r="A34" s="33">
        <v>27</v>
      </c>
      <c r="B34" s="27" t="s">
        <v>62</v>
      </c>
      <c r="C34" s="40">
        <v>9</v>
      </c>
      <c r="D34" s="40">
        <v>6</v>
      </c>
      <c r="E34" s="40">
        <v>3</v>
      </c>
      <c r="F34" s="40"/>
      <c r="G34" s="27"/>
      <c r="H34" s="27"/>
      <c r="I34" s="27"/>
      <c r="J34" s="27"/>
      <c r="K34" s="27"/>
      <c r="L34" s="186"/>
      <c r="M34" s="183"/>
      <c r="N34" s="184"/>
      <c r="O34" s="184"/>
      <c r="P34" s="184"/>
      <c r="Q34" s="184"/>
      <c r="R34" s="185"/>
      <c r="S34" s="161"/>
      <c r="T34" s="164"/>
      <c r="U34" s="165"/>
      <c r="V34" s="167"/>
      <c r="W34" s="179"/>
      <c r="Z34" s="1"/>
    </row>
    <row r="35" spans="1:27" ht="51.95" customHeight="1">
      <c r="A35" s="33">
        <v>28</v>
      </c>
      <c r="B35" s="27" t="s">
        <v>36</v>
      </c>
      <c r="C35" s="40">
        <v>1</v>
      </c>
      <c r="D35" s="40">
        <v>1</v>
      </c>
      <c r="E35" s="40"/>
      <c r="F35" s="40"/>
      <c r="G35" s="27"/>
      <c r="H35" s="27"/>
      <c r="I35" s="27"/>
      <c r="J35" s="27"/>
      <c r="K35" s="27"/>
      <c r="L35" s="152">
        <v>4</v>
      </c>
      <c r="M35" s="384" t="s">
        <v>155</v>
      </c>
      <c r="N35" s="385"/>
      <c r="O35" s="385"/>
      <c r="P35" s="385"/>
      <c r="Q35" s="385"/>
      <c r="R35" s="386"/>
      <c r="S35" s="160"/>
      <c r="T35" s="162"/>
      <c r="U35" s="163"/>
      <c r="V35" s="166"/>
      <c r="W35" s="16"/>
      <c r="Z35" s="1"/>
    </row>
    <row r="36" spans="1:27" ht="51.95" customHeight="1">
      <c r="A36" s="33">
        <v>29</v>
      </c>
      <c r="B36" s="27" t="s">
        <v>93</v>
      </c>
      <c r="C36" s="40">
        <v>1</v>
      </c>
      <c r="D36" s="40">
        <v>1</v>
      </c>
      <c r="E36" s="40"/>
      <c r="F36" s="40"/>
      <c r="G36" s="27"/>
      <c r="H36" s="27"/>
      <c r="I36" s="27"/>
      <c r="J36" s="27"/>
      <c r="K36" s="27"/>
      <c r="L36" s="153"/>
      <c r="M36" s="387"/>
      <c r="N36" s="388"/>
      <c r="O36" s="388"/>
      <c r="P36" s="388"/>
      <c r="Q36" s="388"/>
      <c r="R36" s="389"/>
      <c r="S36" s="161"/>
      <c r="T36" s="164"/>
      <c r="U36" s="165"/>
      <c r="V36" s="167"/>
      <c r="W36" s="16"/>
      <c r="Z36" s="1"/>
    </row>
    <row r="37" spans="1:27" ht="51.95" customHeight="1">
      <c r="A37" s="33">
        <v>30</v>
      </c>
      <c r="B37" s="27" t="s">
        <v>46</v>
      </c>
      <c r="C37" s="40">
        <v>1</v>
      </c>
      <c r="D37" s="40">
        <v>1</v>
      </c>
      <c r="E37" s="40"/>
      <c r="F37" s="40"/>
      <c r="G37" s="27"/>
      <c r="H37" s="27"/>
      <c r="I37" s="27"/>
      <c r="J37" s="27"/>
      <c r="K37" s="27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33">
        <v>31</v>
      </c>
      <c r="B38" s="27" t="s">
        <v>95</v>
      </c>
      <c r="C38" s="40">
        <v>8</v>
      </c>
      <c r="D38" s="40"/>
      <c r="E38" s="40">
        <v>8</v>
      </c>
      <c r="F38" s="40"/>
      <c r="G38" s="27"/>
      <c r="H38" s="27"/>
      <c r="I38" s="27"/>
      <c r="J38" s="27"/>
      <c r="K38" s="27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51.95" customHeight="1">
      <c r="A39" s="33">
        <v>32</v>
      </c>
      <c r="B39" s="70" t="s">
        <v>118</v>
      </c>
      <c r="C39" s="64">
        <v>4</v>
      </c>
      <c r="D39" s="64">
        <v>1</v>
      </c>
      <c r="E39" s="64">
        <v>3</v>
      </c>
      <c r="F39" s="64"/>
      <c r="G39" s="70"/>
      <c r="H39" s="70"/>
      <c r="I39" s="70"/>
      <c r="J39" s="70"/>
      <c r="K39" s="70"/>
      <c r="L39" s="27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  <c r="Z39" s="1"/>
    </row>
    <row r="40" spans="1:27" ht="63.75" customHeight="1">
      <c r="A40" s="150" t="s">
        <v>9</v>
      </c>
      <c r="B40" s="151"/>
      <c r="C40" s="61">
        <f>SUM(C7:C39)</f>
        <v>93</v>
      </c>
      <c r="D40" s="61">
        <f>SUM(D7:D39)</f>
        <v>61</v>
      </c>
      <c r="E40" s="61">
        <f>SUM(E7:E39)</f>
        <v>31</v>
      </c>
      <c r="F40" s="151" t="s">
        <v>9</v>
      </c>
      <c r="G40" s="151"/>
      <c r="H40" s="75">
        <f>SUM(H7:H38)</f>
        <v>73</v>
      </c>
      <c r="I40" s="60">
        <f>SUM(I7:I38)</f>
        <v>67</v>
      </c>
      <c r="J40" s="75">
        <f>SUM(J7:J38)</f>
        <v>2</v>
      </c>
      <c r="K40" s="75">
        <f>SUM(K7:K38)</f>
        <v>2</v>
      </c>
      <c r="L40" s="76"/>
      <c r="M40" s="147"/>
      <c r="N40" s="148"/>
      <c r="O40" s="148"/>
      <c r="P40" s="148"/>
      <c r="Q40" s="148"/>
      <c r="R40" s="149"/>
      <c r="S40" s="48"/>
      <c r="T40" s="52"/>
      <c r="U40" s="53"/>
      <c r="V40" s="55"/>
      <c r="W40" s="16"/>
    </row>
    <row r="41" spans="1:27" ht="36" customHeight="1">
      <c r="A41" s="174" t="s">
        <v>81</v>
      </c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6" t="s">
        <v>33</v>
      </c>
      <c r="P41" s="176"/>
      <c r="Q41" s="176"/>
      <c r="R41" s="176"/>
      <c r="S41" s="176"/>
      <c r="T41" s="176"/>
      <c r="U41" s="176"/>
      <c r="V41" s="177"/>
      <c r="W41" s="16"/>
    </row>
    <row r="42" spans="1:27" ht="54" customHeight="1">
      <c r="A42" s="11" t="s">
        <v>2</v>
      </c>
      <c r="B42" s="27" t="s">
        <v>5</v>
      </c>
      <c r="C42" s="143" t="s">
        <v>24</v>
      </c>
      <c r="D42" s="143"/>
      <c r="E42" s="143" t="s">
        <v>68</v>
      </c>
      <c r="F42" s="143"/>
      <c r="G42" s="143"/>
      <c r="H42" s="143" t="s">
        <v>42</v>
      </c>
      <c r="I42" s="143"/>
      <c r="J42" s="143"/>
      <c r="K42" s="143" t="s">
        <v>41</v>
      </c>
      <c r="L42" s="143"/>
      <c r="M42" s="143"/>
      <c r="N42" s="143"/>
      <c r="O42" s="144" t="s">
        <v>31</v>
      </c>
      <c r="P42" s="145"/>
      <c r="Q42" s="145"/>
      <c r="R42" s="146"/>
      <c r="S42" s="62" t="s">
        <v>75</v>
      </c>
      <c r="T42" s="62" t="s">
        <v>77</v>
      </c>
      <c r="U42" s="62" t="s">
        <v>76</v>
      </c>
      <c r="V42" s="63" t="s">
        <v>32</v>
      </c>
      <c r="W42" s="16"/>
    </row>
    <row r="43" spans="1:27" ht="148.5" customHeight="1">
      <c r="A43" s="13">
        <v>1</v>
      </c>
      <c r="B43" s="74" t="s">
        <v>135</v>
      </c>
      <c r="C43" s="134"/>
      <c r="D43" s="135"/>
      <c r="E43" s="109">
        <v>100</v>
      </c>
      <c r="F43" s="111"/>
      <c r="G43" s="110"/>
      <c r="H43" s="134">
        <v>1</v>
      </c>
      <c r="I43" s="136"/>
      <c r="J43" s="135"/>
      <c r="K43" s="134">
        <v>99</v>
      </c>
      <c r="L43" s="136"/>
      <c r="M43" s="136"/>
      <c r="N43" s="135"/>
      <c r="O43" s="137"/>
      <c r="P43" s="138"/>
      <c r="Q43" s="138"/>
      <c r="R43" s="139"/>
      <c r="S43" s="56"/>
      <c r="T43" s="56"/>
      <c r="U43" s="57"/>
      <c r="V43" s="58"/>
      <c r="W43" s="80">
        <f>K43+H43</f>
        <v>100</v>
      </c>
      <c r="Y43" s="8"/>
    </row>
    <row r="44" spans="1:27" ht="110.25" customHeight="1">
      <c r="A44" s="13">
        <v>2</v>
      </c>
      <c r="B44" s="74" t="s">
        <v>136</v>
      </c>
      <c r="C44" s="117"/>
      <c r="D44" s="118"/>
      <c r="E44" s="109">
        <f>2527+29</f>
        <v>2556</v>
      </c>
      <c r="F44" s="111"/>
      <c r="G44" s="110"/>
      <c r="H44" s="134">
        <v>1</v>
      </c>
      <c r="I44" s="136"/>
      <c r="J44" s="135"/>
      <c r="K44" s="134">
        <v>683</v>
      </c>
      <c r="L44" s="136"/>
      <c r="M44" s="136"/>
      <c r="N44" s="135"/>
      <c r="O44" s="140"/>
      <c r="P44" s="141"/>
      <c r="Q44" s="141"/>
      <c r="R44" s="142"/>
      <c r="S44" s="56"/>
      <c r="T44" s="56"/>
      <c r="U44" s="57"/>
      <c r="V44" s="58"/>
      <c r="W44" s="80">
        <f t="shared" ref="W44:W51" si="2">K44+H44</f>
        <v>684</v>
      </c>
      <c r="X44" s="2"/>
      <c r="Y44" s="7"/>
      <c r="Z44" s="7"/>
      <c r="AA44" s="9"/>
    </row>
    <row r="45" spans="1:27" ht="90.75" customHeight="1">
      <c r="A45" s="13">
        <v>3</v>
      </c>
      <c r="B45" s="74" t="s">
        <v>80</v>
      </c>
      <c r="C45" s="122"/>
      <c r="D45" s="123"/>
      <c r="E45" s="109">
        <v>140000</v>
      </c>
      <c r="F45" s="111"/>
      <c r="G45" s="110"/>
      <c r="H45" s="109">
        <v>4420</v>
      </c>
      <c r="I45" s="111"/>
      <c r="J45" s="110"/>
      <c r="K45" s="109">
        <v>126346</v>
      </c>
      <c r="L45" s="111"/>
      <c r="M45" s="111"/>
      <c r="N45" s="110"/>
      <c r="O45" s="129"/>
      <c r="P45" s="130"/>
      <c r="Q45" s="130"/>
      <c r="R45" s="131"/>
      <c r="S45" s="37"/>
      <c r="T45" s="26"/>
      <c r="U45" s="26"/>
      <c r="V45" s="38"/>
      <c r="W45" s="78">
        <f>K45+H45</f>
        <v>130766</v>
      </c>
      <c r="X45" s="2"/>
      <c r="Y45" s="7"/>
      <c r="Z45" s="7"/>
      <c r="AA45" s="9"/>
    </row>
    <row r="46" spans="1:27" ht="65.099999999999994" customHeight="1">
      <c r="A46" s="13">
        <v>4</v>
      </c>
      <c r="B46" s="74" t="s">
        <v>56</v>
      </c>
      <c r="C46" s="117"/>
      <c r="D46" s="118"/>
      <c r="E46" s="109">
        <v>20920</v>
      </c>
      <c r="F46" s="111"/>
      <c r="G46" s="110"/>
      <c r="H46" s="109"/>
      <c r="I46" s="111"/>
      <c r="J46" s="110"/>
      <c r="K46" s="109">
        <v>15900</v>
      </c>
      <c r="L46" s="111"/>
      <c r="M46" s="111"/>
      <c r="N46" s="110"/>
      <c r="O46" s="132" t="s">
        <v>25</v>
      </c>
      <c r="P46" s="132"/>
      <c r="Q46" s="132"/>
      <c r="R46" s="132"/>
      <c r="S46" s="132"/>
      <c r="T46" s="132"/>
      <c r="U46" s="132"/>
      <c r="V46" s="133"/>
      <c r="W46" s="22">
        <f t="shared" si="2"/>
        <v>15900</v>
      </c>
      <c r="X46" s="2"/>
      <c r="Y46" s="7"/>
      <c r="Z46" s="7"/>
      <c r="AA46" s="9"/>
    </row>
    <row r="47" spans="1:27" ht="65.099999999999994" customHeight="1">
      <c r="A47" s="13">
        <v>5</v>
      </c>
      <c r="B47" s="74" t="s">
        <v>114</v>
      </c>
      <c r="C47" s="122">
        <v>11</v>
      </c>
      <c r="D47" s="123"/>
      <c r="E47" s="109">
        <v>1206</v>
      </c>
      <c r="F47" s="111"/>
      <c r="G47" s="110"/>
      <c r="H47" s="109">
        <v>11</v>
      </c>
      <c r="I47" s="111"/>
      <c r="J47" s="110"/>
      <c r="K47" s="109">
        <v>1206</v>
      </c>
      <c r="L47" s="111"/>
      <c r="M47" s="111"/>
      <c r="N47" s="110"/>
      <c r="O47" s="126" t="s">
        <v>107</v>
      </c>
      <c r="P47" s="127"/>
      <c r="Q47" s="127"/>
      <c r="R47" s="127"/>
      <c r="S47" s="127"/>
      <c r="T47" s="127"/>
      <c r="U47" s="127"/>
      <c r="V47" s="128"/>
      <c r="W47" s="22">
        <f>K47+H47</f>
        <v>1217</v>
      </c>
      <c r="X47" s="2"/>
      <c r="Y47" s="7"/>
      <c r="Z47" s="7"/>
      <c r="AA47" s="9"/>
    </row>
    <row r="48" spans="1:27" ht="65.099999999999994" customHeight="1">
      <c r="A48" s="13">
        <v>6</v>
      </c>
      <c r="B48" s="74" t="s">
        <v>115</v>
      </c>
      <c r="C48" s="122">
        <v>109</v>
      </c>
      <c r="D48" s="123"/>
      <c r="E48" s="109">
        <v>7263</v>
      </c>
      <c r="F48" s="111"/>
      <c r="G48" s="110"/>
      <c r="H48" s="109">
        <v>109</v>
      </c>
      <c r="I48" s="111"/>
      <c r="J48" s="110"/>
      <c r="K48" s="109">
        <v>7263</v>
      </c>
      <c r="L48" s="111"/>
      <c r="M48" s="111"/>
      <c r="N48" s="110"/>
      <c r="O48" s="126" t="s">
        <v>86</v>
      </c>
      <c r="P48" s="127"/>
      <c r="Q48" s="127"/>
      <c r="R48" s="127"/>
      <c r="S48" s="127"/>
      <c r="T48" s="127"/>
      <c r="U48" s="127"/>
      <c r="V48" s="128"/>
      <c r="W48" s="23">
        <f>K48+H48</f>
        <v>7372</v>
      </c>
      <c r="X48" s="2"/>
      <c r="Y48" s="7"/>
      <c r="Z48" s="7"/>
      <c r="AA48" s="9"/>
    </row>
    <row r="49" spans="1:27" ht="65.099999999999994" customHeight="1">
      <c r="A49" s="13">
        <v>7</v>
      </c>
      <c r="B49" s="74" t="s">
        <v>79</v>
      </c>
      <c r="C49" s="117"/>
      <c r="D49" s="118"/>
      <c r="E49" s="109">
        <v>9260</v>
      </c>
      <c r="F49" s="111"/>
      <c r="G49" s="110"/>
      <c r="H49" s="109"/>
      <c r="I49" s="111"/>
      <c r="J49" s="110"/>
      <c r="K49" s="109">
        <v>7980</v>
      </c>
      <c r="L49" s="111"/>
      <c r="M49" s="111"/>
      <c r="N49" s="110"/>
      <c r="O49" s="119" t="s">
        <v>87</v>
      </c>
      <c r="P49" s="120"/>
      <c r="Q49" s="120"/>
      <c r="R49" s="120"/>
      <c r="S49" s="120"/>
      <c r="T49" s="120"/>
      <c r="U49" s="120"/>
      <c r="V49" s="121"/>
      <c r="W49" s="22">
        <f t="shared" si="2"/>
        <v>7980</v>
      </c>
      <c r="X49" s="2"/>
      <c r="Y49" s="7"/>
      <c r="Z49" s="7"/>
      <c r="AA49" s="9"/>
    </row>
    <row r="50" spans="1:27" ht="65.099999999999994" customHeight="1">
      <c r="A50" s="13">
        <v>8</v>
      </c>
      <c r="B50" s="74" t="s">
        <v>98</v>
      </c>
      <c r="C50" s="122"/>
      <c r="D50" s="123"/>
      <c r="E50" s="109">
        <v>2938</v>
      </c>
      <c r="F50" s="111"/>
      <c r="G50" s="110"/>
      <c r="H50" s="109"/>
      <c r="I50" s="111"/>
      <c r="J50" s="110"/>
      <c r="K50" s="109">
        <v>400</v>
      </c>
      <c r="L50" s="111"/>
      <c r="M50" s="111"/>
      <c r="N50" s="110"/>
      <c r="O50" s="124" t="s">
        <v>96</v>
      </c>
      <c r="P50" s="124"/>
      <c r="Q50" s="124"/>
      <c r="R50" s="124"/>
      <c r="S50" s="124"/>
      <c r="T50" s="124"/>
      <c r="U50" s="124"/>
      <c r="V50" s="125"/>
      <c r="W50" s="22">
        <f t="shared" si="2"/>
        <v>400</v>
      </c>
      <c r="X50" s="2"/>
      <c r="Y50" s="7"/>
      <c r="Z50" s="7"/>
      <c r="AA50" s="9"/>
    </row>
    <row r="51" spans="1:27" ht="65.099999999999994" customHeight="1">
      <c r="A51" s="13">
        <v>9</v>
      </c>
      <c r="B51" s="74" t="s">
        <v>99</v>
      </c>
      <c r="C51" s="109"/>
      <c r="D51" s="110"/>
      <c r="E51" s="109">
        <v>1523</v>
      </c>
      <c r="F51" s="111"/>
      <c r="G51" s="110"/>
      <c r="H51" s="109"/>
      <c r="I51" s="111"/>
      <c r="J51" s="110"/>
      <c r="K51" s="109">
        <v>200</v>
      </c>
      <c r="L51" s="111"/>
      <c r="M51" s="111"/>
      <c r="N51" s="110"/>
      <c r="O51" s="399"/>
      <c r="P51" s="399"/>
      <c r="Q51" s="399"/>
      <c r="R51" s="399"/>
      <c r="S51" s="399"/>
      <c r="T51" s="399"/>
      <c r="U51" s="399"/>
      <c r="V51" s="400"/>
      <c r="W51" s="22">
        <f t="shared" si="2"/>
        <v>200</v>
      </c>
      <c r="X51" s="2"/>
      <c r="Y51" s="7"/>
      <c r="Z51" s="7"/>
      <c r="AA51" s="9"/>
    </row>
    <row r="52" spans="1:27" ht="65.099999999999994" customHeight="1">
      <c r="A52" s="13">
        <v>10</v>
      </c>
      <c r="B52" s="74" t="s">
        <v>174</v>
      </c>
      <c r="C52" s="109"/>
      <c r="D52" s="110"/>
      <c r="E52" s="109">
        <v>127</v>
      </c>
      <c r="F52" s="111"/>
      <c r="G52" s="110"/>
      <c r="H52" s="109">
        <v>0</v>
      </c>
      <c r="I52" s="111"/>
      <c r="J52" s="110"/>
      <c r="K52" s="109">
        <v>0</v>
      </c>
      <c r="L52" s="111"/>
      <c r="M52" s="111"/>
      <c r="N52" s="110"/>
      <c r="O52" s="399"/>
      <c r="P52" s="399"/>
      <c r="Q52" s="399"/>
      <c r="R52" s="399"/>
      <c r="S52" s="399"/>
      <c r="T52" s="399"/>
      <c r="U52" s="399"/>
      <c r="V52" s="400"/>
      <c r="W52" s="22"/>
      <c r="X52" s="2"/>
      <c r="Y52" s="7"/>
      <c r="Z52" s="7"/>
      <c r="AA52" s="9"/>
    </row>
    <row r="53" spans="1:27" ht="36.75" customHeight="1">
      <c r="A53" s="114" t="s">
        <v>90</v>
      </c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6"/>
      <c r="W53" s="21"/>
      <c r="X53" s="2"/>
      <c r="Y53" s="7">
        <f>14050+100</f>
        <v>14150</v>
      </c>
      <c r="Z53" s="7"/>
      <c r="AA53" s="9"/>
    </row>
    <row r="54" spans="1:27" s="44" customFormat="1" ht="54" customHeight="1">
      <c r="A54" s="93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5"/>
      <c r="W54" s="41"/>
      <c r="X54" s="42"/>
      <c r="Y54" s="42"/>
      <c r="Z54" s="42"/>
      <c r="AA54" s="43"/>
    </row>
    <row r="55" spans="1:27" ht="42.75" customHeight="1">
      <c r="A55" s="96" t="s">
        <v>88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8"/>
      <c r="O55" s="99" t="s">
        <v>18</v>
      </c>
      <c r="P55" s="99"/>
      <c r="Q55" s="99"/>
      <c r="R55" s="99"/>
      <c r="S55" s="99"/>
      <c r="T55" s="99"/>
      <c r="U55" s="99"/>
      <c r="V55" s="100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 t="s">
        <v>67</v>
      </c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>
      <c r="A58" s="10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5"/>
      <c r="P58" s="105"/>
      <c r="Q58" s="105"/>
      <c r="R58" s="105"/>
      <c r="S58" s="105"/>
      <c r="T58" s="105"/>
      <c r="U58" s="105"/>
      <c r="V58" s="106"/>
    </row>
    <row r="59" spans="1:27" ht="45" customHeight="1">
      <c r="A59" s="101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5"/>
      <c r="P59" s="105"/>
      <c r="Q59" s="105"/>
      <c r="R59" s="105"/>
      <c r="S59" s="105"/>
      <c r="T59" s="105"/>
      <c r="U59" s="105"/>
      <c r="V59" s="106"/>
    </row>
    <row r="60" spans="1:27" ht="45" customHeight="1" thickBot="1">
      <c r="A60" s="103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7"/>
      <c r="P60" s="107"/>
      <c r="Q60" s="107"/>
      <c r="R60" s="107"/>
      <c r="S60" s="107"/>
      <c r="T60" s="107"/>
      <c r="U60" s="107"/>
      <c r="V60" s="108"/>
    </row>
    <row r="63" spans="1:27">
      <c r="S63" s="28"/>
      <c r="T63" s="28"/>
      <c r="U63" s="28"/>
    </row>
    <row r="64" spans="1:27">
      <c r="G64" s="12" t="s">
        <v>58</v>
      </c>
      <c r="H64" s="24">
        <v>1</v>
      </c>
      <c r="I64" s="24"/>
      <c r="J64" s="24">
        <v>1</v>
      </c>
      <c r="S64" s="28"/>
      <c r="T64" s="28">
        <v>17</v>
      </c>
      <c r="U64" s="29"/>
    </row>
    <row r="65" spans="1:31">
      <c r="G65" s="12" t="s">
        <v>103</v>
      </c>
      <c r="H65" s="24">
        <v>1</v>
      </c>
      <c r="I65" s="24">
        <v>1</v>
      </c>
      <c r="J65" s="24"/>
      <c r="S65" s="28"/>
      <c r="T65" s="28">
        <v>17</v>
      </c>
      <c r="U65" s="30"/>
    </row>
    <row r="66" spans="1:31">
      <c r="G66" s="12" t="s">
        <v>44</v>
      </c>
      <c r="H66" s="24">
        <v>2</v>
      </c>
      <c r="I66" s="24">
        <v>2</v>
      </c>
      <c r="J66" s="24"/>
      <c r="S66" s="28"/>
      <c r="T66" s="28">
        <v>17</v>
      </c>
      <c r="U66" s="28"/>
    </row>
    <row r="67" spans="1:31">
      <c r="G67" s="12" t="s">
        <v>8</v>
      </c>
      <c r="H67" s="24">
        <v>8</v>
      </c>
      <c r="I67" s="24">
        <v>8</v>
      </c>
      <c r="J67" s="24"/>
      <c r="T67" s="3">
        <v>17</v>
      </c>
    </row>
    <row r="68" spans="1:31">
      <c r="G68" s="12" t="s">
        <v>101</v>
      </c>
      <c r="H68" s="24">
        <v>1</v>
      </c>
      <c r="I68" s="24">
        <v>1</v>
      </c>
      <c r="J68" s="24"/>
      <c r="T68" s="3">
        <v>19</v>
      </c>
    </row>
    <row r="69" spans="1:31">
      <c r="G69" s="12" t="s">
        <v>63</v>
      </c>
      <c r="H69" s="24">
        <v>8</v>
      </c>
      <c r="I69" s="24">
        <v>7</v>
      </c>
      <c r="J69" s="24">
        <v>1</v>
      </c>
      <c r="T69" s="3">
        <v>20</v>
      </c>
    </row>
    <row r="70" spans="1:31">
      <c r="G70" s="12" t="s">
        <v>17</v>
      </c>
      <c r="H70" s="24">
        <v>7</v>
      </c>
      <c r="I70" s="24">
        <v>6</v>
      </c>
      <c r="J70" s="24">
        <v>1</v>
      </c>
      <c r="T70" s="3">
        <v>21</v>
      </c>
    </row>
    <row r="71" spans="1:31">
      <c r="G71" s="12" t="s">
        <v>65</v>
      </c>
      <c r="H71" s="24">
        <v>2</v>
      </c>
      <c r="I71" s="24">
        <v>2</v>
      </c>
      <c r="J71" s="24"/>
      <c r="T71" s="3">
        <v>18</v>
      </c>
    </row>
    <row r="72" spans="1:31">
      <c r="G72" s="12" t="s">
        <v>62</v>
      </c>
      <c r="H72" s="24">
        <v>7</v>
      </c>
      <c r="I72" s="24">
        <v>6</v>
      </c>
      <c r="J72" s="24">
        <v>1</v>
      </c>
      <c r="T72" s="3">
        <v>18.600000000000001</v>
      </c>
    </row>
    <row r="73" spans="1:31" s="3" customFormat="1">
      <c r="A73"/>
      <c r="B73" s="15"/>
      <c r="G73" s="12" t="s">
        <v>36</v>
      </c>
      <c r="H73" s="24">
        <f>J74+I73</f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43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45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93</v>
      </c>
      <c r="H76" s="24">
        <v>1</v>
      </c>
      <c r="I76" s="24">
        <v>1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46</v>
      </c>
      <c r="H77" s="24">
        <v>1</v>
      </c>
      <c r="I77" s="24">
        <v>1</v>
      </c>
      <c r="J77" s="2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60</v>
      </c>
      <c r="H78" s="24">
        <v>4</v>
      </c>
      <c r="I78" s="24">
        <v>4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G79" s="12" t="s">
        <v>48</v>
      </c>
      <c r="H79" s="24">
        <v>1</v>
      </c>
      <c r="I79" s="24"/>
      <c r="J79" s="24">
        <v>1</v>
      </c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G80" s="12" t="s">
        <v>95</v>
      </c>
      <c r="H80" s="24">
        <v>6</v>
      </c>
      <c r="I80" s="24">
        <v>6</v>
      </c>
      <c r="J80" s="2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24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  <row r="112" spans="1:31" s="3" customFormat="1">
      <c r="A112"/>
      <c r="B112" s="15"/>
      <c r="J112" s="4"/>
      <c r="N112" s="3">
        <v>19</v>
      </c>
      <c r="W112" s="20"/>
      <c r="X112"/>
      <c r="Y112"/>
      <c r="Z112"/>
      <c r="AA112"/>
      <c r="AB112"/>
      <c r="AC112"/>
      <c r="AD112"/>
      <c r="AE112"/>
    </row>
    <row r="113" spans="1:31" s="3" customFormat="1">
      <c r="A113"/>
      <c r="B113" s="15"/>
      <c r="J113" s="4"/>
      <c r="N113" s="3">
        <v>22</v>
      </c>
      <c r="W113" s="20"/>
      <c r="X113"/>
      <c r="Y113"/>
      <c r="Z113"/>
      <c r="AA113"/>
      <c r="AB113"/>
      <c r="AC113"/>
      <c r="AD113"/>
      <c r="AE113"/>
    </row>
  </sheetData>
  <autoFilter ref="A6:AE53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7">
    <mergeCell ref="A16:A17"/>
    <mergeCell ref="W18:W19"/>
    <mergeCell ref="M16:R17"/>
    <mergeCell ref="S16:S17"/>
    <mergeCell ref="T16:U17"/>
    <mergeCell ref="V16:V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V18:V19"/>
    <mergeCell ref="A53:V53"/>
    <mergeCell ref="A54:V54"/>
    <mergeCell ref="A55:N55"/>
    <mergeCell ref="O55:V55"/>
    <mergeCell ref="A56:N60"/>
    <mergeCell ref="O56:V60"/>
    <mergeCell ref="C51:D51"/>
    <mergeCell ref="E51:G51"/>
    <mergeCell ref="H51:J51"/>
    <mergeCell ref="K51:N51"/>
    <mergeCell ref="O51:V51"/>
    <mergeCell ref="C52:D52"/>
    <mergeCell ref="E52:G52"/>
    <mergeCell ref="H52:J52"/>
    <mergeCell ref="K52:N52"/>
    <mergeCell ref="O52:V52"/>
    <mergeCell ref="C49:D49"/>
    <mergeCell ref="E49:G49"/>
    <mergeCell ref="H49:J49"/>
    <mergeCell ref="K49:N49"/>
    <mergeCell ref="O49:V49"/>
    <mergeCell ref="C50:D50"/>
    <mergeCell ref="E50:G50"/>
    <mergeCell ref="H50:J50"/>
    <mergeCell ref="K50:N50"/>
    <mergeCell ref="O50:V50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5:D45"/>
    <mergeCell ref="E45:G45"/>
    <mergeCell ref="H45:J45"/>
    <mergeCell ref="K45:N45"/>
    <mergeCell ref="O45:R45"/>
    <mergeCell ref="C46:D46"/>
    <mergeCell ref="E46:G46"/>
    <mergeCell ref="H46:J46"/>
    <mergeCell ref="K46:N46"/>
    <mergeCell ref="O46:V46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2:D42"/>
    <mergeCell ref="E42:G42"/>
    <mergeCell ref="H42:J42"/>
    <mergeCell ref="K42:N42"/>
    <mergeCell ref="O42:R42"/>
    <mergeCell ref="M37:R37"/>
    <mergeCell ref="M38:R38"/>
    <mergeCell ref="M39:R39"/>
    <mergeCell ref="A40:B40"/>
    <mergeCell ref="F40:G40"/>
    <mergeCell ref="M40:R40"/>
    <mergeCell ref="L35:L36"/>
    <mergeCell ref="M35:R36"/>
    <mergeCell ref="S35:S36"/>
    <mergeCell ref="T35:U36"/>
    <mergeCell ref="V35:V36"/>
    <mergeCell ref="L29:V29"/>
    <mergeCell ref="M30:R30"/>
    <mergeCell ref="A41:N41"/>
    <mergeCell ref="O41:V41"/>
    <mergeCell ref="W30:W34"/>
    <mergeCell ref="L31:L32"/>
    <mergeCell ref="M31:R32"/>
    <mergeCell ref="S31:S32"/>
    <mergeCell ref="T31:U32"/>
    <mergeCell ref="V31:V32"/>
    <mergeCell ref="L33:L34"/>
    <mergeCell ref="M33:R34"/>
    <mergeCell ref="L23:L28"/>
    <mergeCell ref="M23:R28"/>
    <mergeCell ref="S23:S28"/>
    <mergeCell ref="T23:U28"/>
    <mergeCell ref="V23:V28"/>
    <mergeCell ref="W26:W28"/>
    <mergeCell ref="S33:S34"/>
    <mergeCell ref="T33:U34"/>
    <mergeCell ref="V33:V34"/>
    <mergeCell ref="L20:L22"/>
    <mergeCell ref="M20:R22"/>
    <mergeCell ref="S20:S22"/>
    <mergeCell ref="T20:U22"/>
    <mergeCell ref="V20:V22"/>
    <mergeCell ref="L18:L19"/>
    <mergeCell ref="M18:R19"/>
    <mergeCell ref="S18:S19"/>
    <mergeCell ref="T18:U19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</mergeCells>
  <printOptions horizontalCentered="1"/>
  <pageMargins left="0" right="0" top="0" bottom="1" header="0" footer="0"/>
  <pageSetup paperSize="5" scale="2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3E07-0306-486C-A34F-8165CBE7F7DD}">
  <sheetPr>
    <pageSetUpPr fitToPage="1"/>
  </sheetPr>
  <dimension ref="A1:AH113"/>
  <sheetViews>
    <sheetView rightToLeft="1" view="pageBreakPreview" topLeftCell="A7" zoomScale="40" zoomScaleNormal="110" zoomScaleSheetLayoutView="40" workbookViewId="0">
      <selection activeCell="T11" sqref="T11:U14"/>
    </sheetView>
  </sheetViews>
  <sheetFormatPr defaultRowHeight="42.75"/>
  <cols>
    <col min="1" max="1" width="8.570312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9.5703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151</v>
      </c>
      <c r="S1" s="297"/>
      <c r="T1" s="300" t="s">
        <v>196</v>
      </c>
      <c r="U1" s="300"/>
      <c r="V1" s="420" t="s">
        <v>197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421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421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198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33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33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33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33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33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192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219115</v>
      </c>
      <c r="W11" s="236">
        <f>V11+T11</f>
        <v>219115</v>
      </c>
      <c r="AA11" s="6"/>
      <c r="AB11" s="6"/>
      <c r="AC11" s="6"/>
      <c r="AD11" s="6"/>
      <c r="AE11" s="6"/>
    </row>
    <row r="12" spans="1:34" ht="60" customHeight="1">
      <c r="A12" s="33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33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33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2</v>
      </c>
      <c r="J14" s="40"/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33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40">
        <v>2</v>
      </c>
      <c r="I15" s="40">
        <v>2</v>
      </c>
      <c r="J15" s="40"/>
      <c r="K15" s="40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28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3</v>
      </c>
      <c r="I16" s="152">
        <v>2</v>
      </c>
      <c r="J16" s="152">
        <v>1</v>
      </c>
      <c r="K16" s="152"/>
      <c r="L16" s="152">
        <v>4</v>
      </c>
      <c r="M16" s="431" t="s">
        <v>199</v>
      </c>
      <c r="N16" s="432"/>
      <c r="O16" s="432"/>
      <c r="P16" s="432"/>
      <c r="Q16" s="432"/>
      <c r="R16" s="433"/>
      <c r="S16" s="434" t="s">
        <v>85</v>
      </c>
      <c r="T16" s="367">
        <v>1850</v>
      </c>
      <c r="U16" s="368"/>
      <c r="V16" s="445">
        <v>45326</v>
      </c>
      <c r="W16" s="47">
        <f>V16+T16</f>
        <v>47176</v>
      </c>
    </row>
    <row r="17" spans="1:27" ht="53.25" customHeight="1">
      <c r="A17" s="429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35"/>
      <c r="T17" s="371"/>
      <c r="U17" s="372"/>
      <c r="V17" s="447"/>
      <c r="W17" s="47"/>
    </row>
    <row r="18" spans="1:27" ht="51.95" customHeight="1">
      <c r="A18" s="33">
        <v>11</v>
      </c>
      <c r="B18" s="27" t="s">
        <v>21</v>
      </c>
      <c r="C18" s="40">
        <v>2</v>
      </c>
      <c r="D18" s="40">
        <v>1</v>
      </c>
      <c r="E18" s="40">
        <v>1</v>
      </c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22" t="s">
        <v>200</v>
      </c>
      <c r="N18" s="423"/>
      <c r="O18" s="423"/>
      <c r="P18" s="423"/>
      <c r="Q18" s="423"/>
      <c r="R18" s="424"/>
      <c r="S18" s="160" t="s">
        <v>85</v>
      </c>
      <c r="T18" s="367">
        <v>1850</v>
      </c>
      <c r="U18" s="368"/>
      <c r="V18" s="445">
        <v>100446</v>
      </c>
      <c r="W18" s="178">
        <f>V18+T18</f>
        <v>102296</v>
      </c>
      <c r="X18">
        <v>1</v>
      </c>
      <c r="Z18" s="1"/>
    </row>
    <row r="19" spans="1:27" ht="84" customHeight="1">
      <c r="A19" s="33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5</v>
      </c>
      <c r="J19" s="40"/>
      <c r="K19" s="40"/>
      <c r="L19" s="186"/>
      <c r="M19" s="425"/>
      <c r="N19" s="426"/>
      <c r="O19" s="426"/>
      <c r="P19" s="426"/>
      <c r="Q19" s="426"/>
      <c r="R19" s="427"/>
      <c r="S19" s="161"/>
      <c r="T19" s="371"/>
      <c r="U19" s="372"/>
      <c r="V19" s="447"/>
      <c r="W19" s="178"/>
      <c r="Z19" s="1"/>
    </row>
    <row r="20" spans="1:27" ht="70.5" customHeight="1">
      <c r="A20" s="33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201</v>
      </c>
      <c r="N20" s="213"/>
      <c r="O20" s="213"/>
      <c r="P20" s="213"/>
      <c r="Q20" s="213"/>
      <c r="R20" s="214"/>
      <c r="S20" s="442" t="s">
        <v>85</v>
      </c>
      <c r="T20" s="367">
        <v>378</v>
      </c>
      <c r="U20" s="368"/>
      <c r="V20" s="445">
        <v>40859</v>
      </c>
      <c r="W20" s="178">
        <f>V20+T20</f>
        <v>41237</v>
      </c>
      <c r="Z20" s="1"/>
    </row>
    <row r="21" spans="1:27" ht="70.5" customHeight="1">
      <c r="A21" s="33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33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33">
        <v>16</v>
      </c>
      <c r="B23" s="27" t="s">
        <v>8</v>
      </c>
      <c r="C23" s="59">
        <v>12</v>
      </c>
      <c r="D23" s="40">
        <v>10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52">
        <v>7</v>
      </c>
      <c r="M23" s="215"/>
      <c r="N23" s="216"/>
      <c r="O23" s="216"/>
      <c r="P23" s="216"/>
      <c r="Q23" s="216"/>
      <c r="R23" s="217"/>
      <c r="S23" s="444"/>
      <c r="T23" s="371"/>
      <c r="U23" s="372"/>
      <c r="V23" s="447"/>
      <c r="W23" s="178"/>
      <c r="Z23" s="1"/>
    </row>
    <row r="24" spans="1:27" ht="51.95" customHeight="1">
      <c r="A24" s="33">
        <v>17</v>
      </c>
      <c r="B24" s="27" t="s">
        <v>63</v>
      </c>
      <c r="C24" s="59">
        <v>14</v>
      </c>
      <c r="D24" s="40">
        <v>12</v>
      </c>
      <c r="E24" s="40">
        <v>2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01" t="s">
        <v>202</v>
      </c>
      <c r="N24" s="402"/>
      <c r="O24" s="402"/>
      <c r="P24" s="402"/>
      <c r="Q24" s="402"/>
      <c r="R24" s="403"/>
      <c r="S24" s="442" t="s">
        <v>85</v>
      </c>
      <c r="T24" s="360">
        <v>442</v>
      </c>
      <c r="U24" s="361"/>
      <c r="V24" s="445">
        <v>31710</v>
      </c>
      <c r="W24" s="209">
        <f>V24+T24</f>
        <v>32152</v>
      </c>
      <c r="Z24" s="1"/>
    </row>
    <row r="25" spans="1:27" ht="51.95" customHeight="1">
      <c r="A25" s="33">
        <v>18</v>
      </c>
      <c r="B25" s="27" t="s">
        <v>17</v>
      </c>
      <c r="C25" s="40">
        <v>7</v>
      </c>
      <c r="D25" s="40">
        <v>5</v>
      </c>
      <c r="E25" s="40">
        <v>2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87"/>
      <c r="M25" s="404"/>
      <c r="N25" s="405"/>
      <c r="O25" s="405"/>
      <c r="P25" s="405"/>
      <c r="Q25" s="405"/>
      <c r="R25" s="406"/>
      <c r="S25" s="443"/>
      <c r="T25" s="362"/>
      <c r="U25" s="363"/>
      <c r="V25" s="446"/>
      <c r="W25" s="209"/>
      <c r="Z25" s="1">
        <v>35734</v>
      </c>
      <c r="AA25">
        <f>Z25/Z26</f>
        <v>0.30193748996611719</v>
      </c>
    </row>
    <row r="26" spans="1:27" s="6" customFormat="1" ht="51.95" customHeight="1">
      <c r="A26" s="33">
        <v>19</v>
      </c>
      <c r="B26" s="27" t="s">
        <v>43</v>
      </c>
      <c r="C26" s="40">
        <v>1</v>
      </c>
      <c r="D26" s="40">
        <v>1</v>
      </c>
      <c r="E26" s="40"/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405"/>
      <c r="O26" s="405"/>
      <c r="P26" s="405"/>
      <c r="Q26" s="405"/>
      <c r="R26" s="406"/>
      <c r="S26" s="443"/>
      <c r="T26" s="362"/>
      <c r="U26" s="363"/>
      <c r="V26" s="446"/>
      <c r="W26" s="209"/>
      <c r="Z26" s="34">
        <v>118349</v>
      </c>
    </row>
    <row r="27" spans="1:27" s="6" customFormat="1" ht="51.95" customHeight="1">
      <c r="A27" s="33">
        <v>20</v>
      </c>
      <c r="B27" s="27" t="s">
        <v>45</v>
      </c>
      <c r="C27" s="40">
        <v>2</v>
      </c>
      <c r="D27" s="40"/>
      <c r="E27" s="40">
        <v>2</v>
      </c>
      <c r="F27" s="40">
        <v>20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04"/>
      <c r="N27" s="405"/>
      <c r="O27" s="405"/>
      <c r="P27" s="405"/>
      <c r="Q27" s="405"/>
      <c r="R27" s="406"/>
      <c r="S27" s="443"/>
      <c r="T27" s="362"/>
      <c r="U27" s="363"/>
      <c r="V27" s="446"/>
      <c r="W27" s="209"/>
      <c r="Z27" s="34"/>
    </row>
    <row r="28" spans="1:27" s="6" customFormat="1" ht="51.95" customHeight="1">
      <c r="A28" s="33">
        <v>21</v>
      </c>
      <c r="B28" s="27" t="s">
        <v>58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53"/>
      <c r="M28" s="407"/>
      <c r="N28" s="408"/>
      <c r="O28" s="408"/>
      <c r="P28" s="408"/>
      <c r="Q28" s="408"/>
      <c r="R28" s="409"/>
      <c r="S28" s="444"/>
      <c r="T28" s="364"/>
      <c r="U28" s="365"/>
      <c r="V28" s="447"/>
      <c r="W28" s="209"/>
      <c r="Z28" s="34"/>
    </row>
    <row r="29" spans="1:27" ht="51.95" customHeight="1">
      <c r="A29" s="33">
        <v>22</v>
      </c>
      <c r="B29" s="27" t="s">
        <v>101</v>
      </c>
      <c r="C29" s="40">
        <v>1</v>
      </c>
      <c r="D29" s="40">
        <v>1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68" t="s">
        <v>104</v>
      </c>
      <c r="M29" s="169"/>
      <c r="N29" s="169"/>
      <c r="O29" s="169"/>
      <c r="P29" s="169"/>
      <c r="Q29" s="169"/>
      <c r="R29" s="169"/>
      <c r="S29" s="169"/>
      <c r="T29" s="169"/>
      <c r="U29" s="169"/>
      <c r="V29" s="170"/>
      <c r="W29" s="32"/>
      <c r="Z29" s="1"/>
    </row>
    <row r="30" spans="1:27" ht="51.95" customHeight="1">
      <c r="A30" s="33">
        <v>23</v>
      </c>
      <c r="B30" s="27" t="s">
        <v>44</v>
      </c>
      <c r="C30" s="40">
        <v>2</v>
      </c>
      <c r="D30" s="40">
        <v>2</v>
      </c>
      <c r="E30" s="40"/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40">
        <v>1</v>
      </c>
      <c r="M30" s="171" t="s">
        <v>120</v>
      </c>
      <c r="N30" s="172"/>
      <c r="O30" s="172"/>
      <c r="P30" s="172"/>
      <c r="Q30" s="172"/>
      <c r="R30" s="173"/>
      <c r="S30" s="49"/>
      <c r="T30" s="50"/>
      <c r="U30" s="51"/>
      <c r="V30" s="54"/>
      <c r="W30" s="178"/>
      <c r="Z30" s="1"/>
    </row>
    <row r="31" spans="1:27" ht="51.95" customHeight="1">
      <c r="A31" s="33">
        <v>24</v>
      </c>
      <c r="B31" s="27" t="s">
        <v>103</v>
      </c>
      <c r="C31" s="40">
        <v>1</v>
      </c>
      <c r="D31" s="40"/>
      <c r="E31" s="40">
        <v>1</v>
      </c>
      <c r="F31" s="40">
        <v>24</v>
      </c>
      <c r="G31" s="27" t="s">
        <v>97</v>
      </c>
      <c r="H31" s="40">
        <v>2</v>
      </c>
      <c r="I31" s="40"/>
      <c r="J31" s="40"/>
      <c r="K31" s="40"/>
      <c r="L31" s="152">
        <v>2</v>
      </c>
      <c r="M31" s="180" t="s">
        <v>119</v>
      </c>
      <c r="N31" s="181"/>
      <c r="O31" s="181"/>
      <c r="P31" s="181"/>
      <c r="Q31" s="181"/>
      <c r="R31" s="182"/>
      <c r="S31" s="160"/>
      <c r="T31" s="162"/>
      <c r="U31" s="163"/>
      <c r="V31" s="166"/>
      <c r="W31" s="179"/>
      <c r="Z31" s="1"/>
    </row>
    <row r="32" spans="1:27" ht="51.95" customHeight="1">
      <c r="A32" s="33">
        <v>25</v>
      </c>
      <c r="B32" s="27" t="s">
        <v>60</v>
      </c>
      <c r="C32" s="40">
        <v>3</v>
      </c>
      <c r="D32" s="40">
        <v>2</v>
      </c>
      <c r="E32" s="40">
        <v>1</v>
      </c>
      <c r="F32" s="40"/>
      <c r="G32" s="27"/>
      <c r="H32" s="40"/>
      <c r="I32" s="40"/>
      <c r="J32" s="40"/>
      <c r="K32" s="40"/>
      <c r="L32" s="153"/>
      <c r="M32" s="183"/>
      <c r="N32" s="184"/>
      <c r="O32" s="184"/>
      <c r="P32" s="184"/>
      <c r="Q32" s="184"/>
      <c r="R32" s="185"/>
      <c r="S32" s="161"/>
      <c r="T32" s="164"/>
      <c r="U32" s="165"/>
      <c r="V32" s="167"/>
      <c r="W32" s="179"/>
      <c r="Z32" s="1"/>
    </row>
    <row r="33" spans="1:27" ht="51.95" customHeight="1">
      <c r="A33" s="33">
        <v>26</v>
      </c>
      <c r="B33" s="27" t="s">
        <v>65</v>
      </c>
      <c r="C33" s="40">
        <v>3</v>
      </c>
      <c r="D33" s="40">
        <v>1</v>
      </c>
      <c r="E33" s="40">
        <v>2</v>
      </c>
      <c r="F33" s="40"/>
      <c r="G33" s="27"/>
      <c r="H33" s="40"/>
      <c r="I33" s="40"/>
      <c r="J33" s="40"/>
      <c r="K33" s="40"/>
      <c r="L33" s="186">
        <v>3</v>
      </c>
      <c r="M33" s="180" t="s">
        <v>128</v>
      </c>
      <c r="N33" s="181"/>
      <c r="O33" s="181"/>
      <c r="P33" s="181"/>
      <c r="Q33" s="181"/>
      <c r="R33" s="182"/>
      <c r="S33" s="160"/>
      <c r="T33" s="162"/>
      <c r="U33" s="163"/>
      <c r="V33" s="166"/>
      <c r="W33" s="179"/>
      <c r="Z33" s="1"/>
    </row>
    <row r="34" spans="1:27" ht="51.95" customHeight="1">
      <c r="A34" s="33">
        <v>27</v>
      </c>
      <c r="B34" s="27" t="s">
        <v>62</v>
      </c>
      <c r="C34" s="40">
        <v>9</v>
      </c>
      <c r="D34" s="40">
        <v>6</v>
      </c>
      <c r="E34" s="40">
        <v>3</v>
      </c>
      <c r="F34" s="40"/>
      <c r="G34" s="27"/>
      <c r="H34" s="40"/>
      <c r="I34" s="40"/>
      <c r="J34" s="40"/>
      <c r="K34" s="40"/>
      <c r="L34" s="186"/>
      <c r="M34" s="183"/>
      <c r="N34" s="184"/>
      <c r="O34" s="184"/>
      <c r="P34" s="184"/>
      <c r="Q34" s="184"/>
      <c r="R34" s="185"/>
      <c r="S34" s="161"/>
      <c r="T34" s="164"/>
      <c r="U34" s="165"/>
      <c r="V34" s="167"/>
      <c r="W34" s="179"/>
      <c r="Z34" s="1"/>
    </row>
    <row r="35" spans="1:27" ht="51.95" customHeight="1">
      <c r="A35" s="33">
        <v>28</v>
      </c>
      <c r="B35" s="27" t="s">
        <v>36</v>
      </c>
      <c r="C35" s="40">
        <v>1</v>
      </c>
      <c r="D35" s="40">
        <v>1</v>
      </c>
      <c r="E35" s="40"/>
      <c r="F35" s="40"/>
      <c r="G35" s="27"/>
      <c r="H35" s="40"/>
      <c r="I35" s="40"/>
      <c r="J35" s="40"/>
      <c r="K35" s="40"/>
      <c r="L35" s="152">
        <v>4</v>
      </c>
      <c r="M35" s="384" t="s">
        <v>155</v>
      </c>
      <c r="N35" s="385"/>
      <c r="O35" s="385"/>
      <c r="P35" s="385"/>
      <c r="Q35" s="385"/>
      <c r="R35" s="386"/>
      <c r="S35" s="160"/>
      <c r="T35" s="162"/>
      <c r="U35" s="163"/>
      <c r="V35" s="166"/>
      <c r="W35" s="16"/>
      <c r="Z35" s="1"/>
    </row>
    <row r="36" spans="1:27" ht="51.95" customHeight="1">
      <c r="A36" s="33">
        <v>29</v>
      </c>
      <c r="B36" s="27" t="s">
        <v>93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3"/>
      <c r="M36" s="387"/>
      <c r="N36" s="388"/>
      <c r="O36" s="388"/>
      <c r="P36" s="388"/>
      <c r="Q36" s="388"/>
      <c r="R36" s="389"/>
      <c r="S36" s="161"/>
      <c r="T36" s="164"/>
      <c r="U36" s="165"/>
      <c r="V36" s="167"/>
      <c r="W36" s="16"/>
      <c r="Z36" s="1"/>
    </row>
    <row r="37" spans="1:27" ht="51.95" customHeight="1">
      <c r="A37" s="33">
        <v>30</v>
      </c>
      <c r="B37" s="27" t="s">
        <v>46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33">
        <v>31</v>
      </c>
      <c r="B38" s="27" t="s">
        <v>95</v>
      </c>
      <c r="C38" s="40">
        <v>8</v>
      </c>
      <c r="D38" s="40"/>
      <c r="E38" s="40">
        <v>8</v>
      </c>
      <c r="F38" s="40"/>
      <c r="G38" s="27"/>
      <c r="H38" s="40"/>
      <c r="I38" s="40"/>
      <c r="J38" s="40"/>
      <c r="K38" s="4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51.95" customHeight="1">
      <c r="A39" s="33">
        <v>32</v>
      </c>
      <c r="B39" s="70" t="s">
        <v>118</v>
      </c>
      <c r="C39" s="64">
        <v>4</v>
      </c>
      <c r="D39" s="64">
        <v>1</v>
      </c>
      <c r="E39" s="64">
        <v>3</v>
      </c>
      <c r="F39" s="64"/>
      <c r="G39" s="70"/>
      <c r="H39" s="64"/>
      <c r="I39" s="64"/>
      <c r="J39" s="64"/>
      <c r="K39" s="64"/>
      <c r="L39" s="27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  <c r="Z39" s="1"/>
    </row>
    <row r="40" spans="1:27" ht="63.75" customHeight="1">
      <c r="A40" s="150" t="s">
        <v>9</v>
      </c>
      <c r="B40" s="151"/>
      <c r="C40" s="61">
        <f>SUM(C7:C39)</f>
        <v>92</v>
      </c>
      <c r="D40" s="61">
        <f>SUM(D7:D39)</f>
        <v>61</v>
      </c>
      <c r="E40" s="61">
        <f>SUM(E7:E39)</f>
        <v>31</v>
      </c>
      <c r="F40" s="151" t="s">
        <v>9</v>
      </c>
      <c r="G40" s="151"/>
      <c r="H40" s="64">
        <f>SUM(H7:H38)</f>
        <v>73</v>
      </c>
      <c r="I40" s="64">
        <f>SUM(I7:I38)</f>
        <v>67</v>
      </c>
      <c r="J40" s="64">
        <f>SUM(J7:J38)</f>
        <v>2</v>
      </c>
      <c r="K40" s="64">
        <f>SUM(K7:K38)</f>
        <v>2</v>
      </c>
      <c r="L40" s="76"/>
      <c r="M40" s="147"/>
      <c r="N40" s="148"/>
      <c r="O40" s="148"/>
      <c r="P40" s="148"/>
      <c r="Q40" s="148"/>
      <c r="R40" s="149"/>
      <c r="S40" s="48"/>
      <c r="T40" s="52"/>
      <c r="U40" s="53"/>
      <c r="V40" s="55"/>
      <c r="W40" s="16"/>
    </row>
    <row r="41" spans="1:27" ht="36" customHeight="1">
      <c r="A41" s="174" t="s">
        <v>81</v>
      </c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6" t="s">
        <v>33</v>
      </c>
      <c r="P41" s="176"/>
      <c r="Q41" s="176"/>
      <c r="R41" s="176"/>
      <c r="S41" s="176"/>
      <c r="T41" s="176"/>
      <c r="U41" s="176"/>
      <c r="V41" s="177"/>
      <c r="W41" s="16"/>
    </row>
    <row r="42" spans="1:27" ht="54" customHeight="1">
      <c r="A42" s="11" t="s">
        <v>2</v>
      </c>
      <c r="B42" s="27" t="s">
        <v>5</v>
      </c>
      <c r="C42" s="143" t="s">
        <v>24</v>
      </c>
      <c r="D42" s="143"/>
      <c r="E42" s="143" t="s">
        <v>68</v>
      </c>
      <c r="F42" s="143"/>
      <c r="G42" s="143"/>
      <c r="H42" s="143" t="s">
        <v>42</v>
      </c>
      <c r="I42" s="143"/>
      <c r="J42" s="143"/>
      <c r="K42" s="143" t="s">
        <v>41</v>
      </c>
      <c r="L42" s="143"/>
      <c r="M42" s="143"/>
      <c r="N42" s="143"/>
      <c r="O42" s="144" t="s">
        <v>31</v>
      </c>
      <c r="P42" s="145"/>
      <c r="Q42" s="145"/>
      <c r="R42" s="146"/>
      <c r="S42" s="62" t="s">
        <v>75</v>
      </c>
      <c r="T42" s="62" t="s">
        <v>77</v>
      </c>
      <c r="U42" s="62" t="s">
        <v>76</v>
      </c>
      <c r="V42" s="63" t="s">
        <v>32</v>
      </c>
      <c r="W42" s="16"/>
    </row>
    <row r="43" spans="1:27" ht="116.25" customHeight="1">
      <c r="A43" s="13">
        <v>1</v>
      </c>
      <c r="B43" s="74" t="s">
        <v>135</v>
      </c>
      <c r="C43" s="134"/>
      <c r="D43" s="135"/>
      <c r="E43" s="109">
        <v>100</v>
      </c>
      <c r="F43" s="111"/>
      <c r="G43" s="110"/>
      <c r="H43" s="134">
        <v>1</v>
      </c>
      <c r="I43" s="136"/>
      <c r="J43" s="135"/>
      <c r="K43" s="134">
        <v>99</v>
      </c>
      <c r="L43" s="136"/>
      <c r="M43" s="136"/>
      <c r="N43" s="135"/>
      <c r="O43" s="137"/>
      <c r="P43" s="138"/>
      <c r="Q43" s="138"/>
      <c r="R43" s="139"/>
      <c r="S43" s="56"/>
      <c r="T43" s="56"/>
      <c r="U43" s="57"/>
      <c r="V43" s="58"/>
      <c r="W43" s="80">
        <f>K43+H43</f>
        <v>100</v>
      </c>
      <c r="Y43" s="8"/>
    </row>
    <row r="44" spans="1:27" ht="74.25" customHeight="1">
      <c r="A44" s="13">
        <v>2</v>
      </c>
      <c r="B44" s="74" t="s">
        <v>136</v>
      </c>
      <c r="C44" s="117"/>
      <c r="D44" s="118"/>
      <c r="E44" s="109">
        <f>2527+29</f>
        <v>2556</v>
      </c>
      <c r="F44" s="111"/>
      <c r="G44" s="110"/>
      <c r="H44" s="134">
        <v>1</v>
      </c>
      <c r="I44" s="136"/>
      <c r="J44" s="135"/>
      <c r="K44" s="134">
        <v>683</v>
      </c>
      <c r="L44" s="136"/>
      <c r="M44" s="136"/>
      <c r="N44" s="135"/>
      <c r="O44" s="140"/>
      <c r="P44" s="141"/>
      <c r="Q44" s="141"/>
      <c r="R44" s="142"/>
      <c r="S44" s="56"/>
      <c r="T44" s="56"/>
      <c r="U44" s="57"/>
      <c r="V44" s="58"/>
      <c r="W44" s="80">
        <f t="shared" ref="W44:W51" si="2">K44+H44</f>
        <v>684</v>
      </c>
      <c r="X44" s="2"/>
      <c r="Y44" s="7"/>
      <c r="Z44" s="7"/>
      <c r="AA44" s="9"/>
    </row>
    <row r="45" spans="1:27" ht="90.75" customHeight="1">
      <c r="A45" s="13">
        <v>3</v>
      </c>
      <c r="B45" s="74" t="s">
        <v>80</v>
      </c>
      <c r="C45" s="122"/>
      <c r="D45" s="123"/>
      <c r="E45" s="109">
        <v>140000</v>
      </c>
      <c r="F45" s="111"/>
      <c r="G45" s="110"/>
      <c r="H45" s="109">
        <v>1200</v>
      </c>
      <c r="I45" s="111"/>
      <c r="J45" s="110"/>
      <c r="K45" s="109">
        <v>127546</v>
      </c>
      <c r="L45" s="111"/>
      <c r="M45" s="111"/>
      <c r="N45" s="110"/>
      <c r="O45" s="129"/>
      <c r="P45" s="130"/>
      <c r="Q45" s="130"/>
      <c r="R45" s="131"/>
      <c r="S45" s="37"/>
      <c r="T45" s="26"/>
      <c r="U45" s="26"/>
      <c r="V45" s="38"/>
      <c r="W45" s="78">
        <f>K45+H45</f>
        <v>128746</v>
      </c>
      <c r="X45" s="2"/>
      <c r="Y45" s="7"/>
      <c r="Z45" s="7"/>
      <c r="AA45" s="9"/>
    </row>
    <row r="46" spans="1:27" ht="65.099999999999994" customHeight="1">
      <c r="A46" s="13">
        <v>4</v>
      </c>
      <c r="B46" s="74" t="s">
        <v>56</v>
      </c>
      <c r="C46" s="117"/>
      <c r="D46" s="118"/>
      <c r="E46" s="109">
        <v>20920</v>
      </c>
      <c r="F46" s="111"/>
      <c r="G46" s="110"/>
      <c r="H46" s="109"/>
      <c r="I46" s="111"/>
      <c r="J46" s="110"/>
      <c r="K46" s="109">
        <v>15900</v>
      </c>
      <c r="L46" s="111"/>
      <c r="M46" s="111"/>
      <c r="N46" s="110"/>
      <c r="O46" s="132" t="s">
        <v>25</v>
      </c>
      <c r="P46" s="132"/>
      <c r="Q46" s="132"/>
      <c r="R46" s="132"/>
      <c r="S46" s="132"/>
      <c r="T46" s="132"/>
      <c r="U46" s="132"/>
      <c r="V46" s="133"/>
      <c r="W46" s="22">
        <f t="shared" si="2"/>
        <v>15900</v>
      </c>
      <c r="X46" s="2"/>
      <c r="Y46" s="7"/>
      <c r="Z46" s="7"/>
      <c r="AA46" s="9"/>
    </row>
    <row r="47" spans="1:27" ht="65.099999999999994" customHeight="1">
      <c r="A47" s="13">
        <v>5</v>
      </c>
      <c r="B47" s="74" t="s">
        <v>114</v>
      </c>
      <c r="C47" s="122">
        <v>11</v>
      </c>
      <c r="D47" s="123"/>
      <c r="E47" s="109">
        <v>1217</v>
      </c>
      <c r="F47" s="111"/>
      <c r="G47" s="110"/>
      <c r="H47" s="109">
        <v>11</v>
      </c>
      <c r="I47" s="111"/>
      <c r="J47" s="110"/>
      <c r="K47" s="109">
        <v>1217</v>
      </c>
      <c r="L47" s="111"/>
      <c r="M47" s="111"/>
      <c r="N47" s="110"/>
      <c r="O47" s="126" t="s">
        <v>107</v>
      </c>
      <c r="P47" s="127"/>
      <c r="Q47" s="127"/>
      <c r="R47" s="127"/>
      <c r="S47" s="127"/>
      <c r="T47" s="127"/>
      <c r="U47" s="127"/>
      <c r="V47" s="128"/>
      <c r="W47" s="22">
        <f>K47+H47</f>
        <v>1228</v>
      </c>
      <c r="X47" s="2"/>
      <c r="Y47" s="7"/>
      <c r="Z47" s="7"/>
      <c r="AA47" s="9"/>
    </row>
    <row r="48" spans="1:27" ht="65.099999999999994" customHeight="1">
      <c r="A48" s="13">
        <v>6</v>
      </c>
      <c r="B48" s="74" t="s">
        <v>115</v>
      </c>
      <c r="C48" s="122">
        <v>80</v>
      </c>
      <c r="D48" s="123"/>
      <c r="E48" s="109">
        <v>7343</v>
      </c>
      <c r="F48" s="111"/>
      <c r="G48" s="110"/>
      <c r="H48" s="109">
        <v>80</v>
      </c>
      <c r="I48" s="111"/>
      <c r="J48" s="110"/>
      <c r="K48" s="109">
        <v>7343</v>
      </c>
      <c r="L48" s="111"/>
      <c r="M48" s="111"/>
      <c r="N48" s="110"/>
      <c r="O48" s="126" t="s">
        <v>86</v>
      </c>
      <c r="P48" s="127"/>
      <c r="Q48" s="127"/>
      <c r="R48" s="127"/>
      <c r="S48" s="127"/>
      <c r="T48" s="127"/>
      <c r="U48" s="127"/>
      <c r="V48" s="128"/>
      <c r="W48" s="23">
        <f>K48+H48</f>
        <v>7423</v>
      </c>
      <c r="X48" s="2"/>
      <c r="Y48" s="7"/>
      <c r="Z48" s="7"/>
      <c r="AA48" s="9"/>
    </row>
    <row r="49" spans="1:27" ht="65.099999999999994" customHeight="1">
      <c r="A49" s="13">
        <v>7</v>
      </c>
      <c r="B49" s="74" t="s">
        <v>79</v>
      </c>
      <c r="C49" s="117"/>
      <c r="D49" s="118"/>
      <c r="E49" s="109">
        <v>9260</v>
      </c>
      <c r="F49" s="111"/>
      <c r="G49" s="110"/>
      <c r="H49" s="109"/>
      <c r="I49" s="111"/>
      <c r="J49" s="110"/>
      <c r="K49" s="109">
        <v>7980</v>
      </c>
      <c r="L49" s="111"/>
      <c r="M49" s="111"/>
      <c r="N49" s="110"/>
      <c r="O49" s="119" t="s">
        <v>87</v>
      </c>
      <c r="P49" s="120"/>
      <c r="Q49" s="120"/>
      <c r="R49" s="120"/>
      <c r="S49" s="120"/>
      <c r="T49" s="120"/>
      <c r="U49" s="120"/>
      <c r="V49" s="121"/>
      <c r="W49" s="22">
        <f t="shared" si="2"/>
        <v>7980</v>
      </c>
      <c r="X49" s="2"/>
      <c r="Y49" s="7"/>
      <c r="Z49" s="7"/>
      <c r="AA49" s="9"/>
    </row>
    <row r="50" spans="1:27" ht="65.099999999999994" customHeight="1">
      <c r="A50" s="13">
        <v>8</v>
      </c>
      <c r="B50" s="74" t="s">
        <v>98</v>
      </c>
      <c r="C50" s="122"/>
      <c r="D50" s="123"/>
      <c r="E50" s="109">
        <v>2938</v>
      </c>
      <c r="F50" s="111"/>
      <c r="G50" s="110"/>
      <c r="H50" s="109"/>
      <c r="I50" s="111"/>
      <c r="J50" s="110"/>
      <c r="K50" s="109">
        <v>400</v>
      </c>
      <c r="L50" s="111"/>
      <c r="M50" s="111"/>
      <c r="N50" s="110"/>
      <c r="O50" s="124" t="s">
        <v>96</v>
      </c>
      <c r="P50" s="124"/>
      <c r="Q50" s="124"/>
      <c r="R50" s="124"/>
      <c r="S50" s="124"/>
      <c r="T50" s="124"/>
      <c r="U50" s="124"/>
      <c r="V50" s="125"/>
      <c r="W50" s="22">
        <f t="shared" si="2"/>
        <v>400</v>
      </c>
      <c r="X50" s="2"/>
      <c r="Y50" s="7"/>
      <c r="Z50" s="7"/>
      <c r="AA50" s="9"/>
    </row>
    <row r="51" spans="1:27" ht="65.099999999999994" customHeight="1">
      <c r="A51" s="13">
        <v>9</v>
      </c>
      <c r="B51" s="74" t="s">
        <v>99</v>
      </c>
      <c r="C51" s="109"/>
      <c r="D51" s="110"/>
      <c r="E51" s="109">
        <v>1523</v>
      </c>
      <c r="F51" s="111"/>
      <c r="G51" s="110"/>
      <c r="H51" s="109"/>
      <c r="I51" s="111"/>
      <c r="J51" s="110"/>
      <c r="K51" s="109">
        <v>200</v>
      </c>
      <c r="L51" s="111"/>
      <c r="M51" s="111"/>
      <c r="N51" s="110"/>
      <c r="O51" s="399"/>
      <c r="P51" s="399"/>
      <c r="Q51" s="399"/>
      <c r="R51" s="399"/>
      <c r="S51" s="399"/>
      <c r="T51" s="399"/>
      <c r="U51" s="399"/>
      <c r="V51" s="400"/>
      <c r="W51" s="22">
        <f t="shared" si="2"/>
        <v>200</v>
      </c>
      <c r="X51" s="2"/>
      <c r="Y51" s="7"/>
      <c r="Z51" s="7"/>
      <c r="AA51" s="9"/>
    </row>
    <row r="52" spans="1:27" ht="65.099999999999994" customHeight="1">
      <c r="A52" s="13">
        <v>10</v>
      </c>
      <c r="B52" s="74" t="s">
        <v>174</v>
      </c>
      <c r="C52" s="109"/>
      <c r="D52" s="110"/>
      <c r="E52" s="109">
        <v>127</v>
      </c>
      <c r="F52" s="111"/>
      <c r="G52" s="110"/>
      <c r="H52" s="109">
        <v>0</v>
      </c>
      <c r="I52" s="111"/>
      <c r="J52" s="110"/>
      <c r="K52" s="109">
        <v>0</v>
      </c>
      <c r="L52" s="111"/>
      <c r="M52" s="111"/>
      <c r="N52" s="110"/>
      <c r="O52" s="399"/>
      <c r="P52" s="399"/>
      <c r="Q52" s="399"/>
      <c r="R52" s="399"/>
      <c r="S52" s="399"/>
      <c r="T52" s="399"/>
      <c r="U52" s="399"/>
      <c r="V52" s="400"/>
      <c r="W52" s="22"/>
      <c r="X52" s="2"/>
      <c r="Y52" s="7"/>
      <c r="Z52" s="7"/>
      <c r="AA52" s="9"/>
    </row>
    <row r="53" spans="1:27" ht="36.75" customHeight="1">
      <c r="A53" s="114" t="s">
        <v>90</v>
      </c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6"/>
      <c r="W53" s="21"/>
      <c r="X53" s="2"/>
      <c r="Y53" s="7">
        <f>14050+100</f>
        <v>14150</v>
      </c>
      <c r="Z53" s="7"/>
      <c r="AA53" s="9"/>
    </row>
    <row r="54" spans="1:27" s="44" customFormat="1" ht="54" customHeight="1">
      <c r="A54" s="93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5"/>
      <c r="W54" s="41"/>
      <c r="X54" s="42"/>
      <c r="Y54" s="42"/>
      <c r="Z54" s="42"/>
      <c r="AA54" s="43"/>
    </row>
    <row r="55" spans="1:27" ht="65.25" customHeight="1">
      <c r="A55" s="96" t="s">
        <v>88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8"/>
      <c r="O55" s="99" t="s">
        <v>18</v>
      </c>
      <c r="P55" s="99"/>
      <c r="Q55" s="99"/>
      <c r="R55" s="99"/>
      <c r="S55" s="99"/>
      <c r="T55" s="99"/>
      <c r="U55" s="99"/>
      <c r="V55" s="100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5" t="s">
        <v>67</v>
      </c>
      <c r="P56" s="105"/>
      <c r="Q56" s="105"/>
      <c r="R56" s="105"/>
      <c r="S56" s="105"/>
      <c r="T56" s="105"/>
      <c r="U56" s="105"/>
      <c r="V56" s="106"/>
    </row>
    <row r="57" spans="1:27" ht="4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5"/>
      <c r="P57" s="105"/>
      <c r="Q57" s="105"/>
      <c r="R57" s="105"/>
      <c r="S57" s="105"/>
      <c r="T57" s="105"/>
      <c r="U57" s="105"/>
      <c r="V57" s="106"/>
    </row>
    <row r="58" spans="1:27" ht="45" customHeight="1">
      <c r="A58" s="10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5"/>
      <c r="P58" s="105"/>
      <c r="Q58" s="105"/>
      <c r="R58" s="105"/>
      <c r="S58" s="105"/>
      <c r="T58" s="105"/>
      <c r="U58" s="105"/>
      <c r="V58" s="106"/>
    </row>
    <row r="59" spans="1:27" ht="45" customHeight="1">
      <c r="A59" s="101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5"/>
      <c r="P59" s="105"/>
      <c r="Q59" s="105"/>
      <c r="R59" s="105"/>
      <c r="S59" s="105"/>
      <c r="T59" s="105"/>
      <c r="U59" s="105"/>
      <c r="V59" s="106"/>
    </row>
    <row r="60" spans="1:27" ht="86.25" customHeight="1" thickBot="1">
      <c r="A60" s="103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7"/>
      <c r="P60" s="107"/>
      <c r="Q60" s="107"/>
      <c r="R60" s="107"/>
      <c r="S60" s="107"/>
      <c r="T60" s="107"/>
      <c r="U60" s="107"/>
      <c r="V60" s="108"/>
    </row>
    <row r="63" spans="1:27">
      <c r="S63" s="28"/>
      <c r="T63" s="28"/>
      <c r="U63" s="28"/>
    </row>
    <row r="64" spans="1:27">
      <c r="G64" s="12" t="s">
        <v>58</v>
      </c>
      <c r="H64" s="24">
        <v>1</v>
      </c>
      <c r="I64" s="24"/>
      <c r="J64" s="24">
        <v>1</v>
      </c>
      <c r="S64" s="28"/>
      <c r="T64" s="28">
        <v>17</v>
      </c>
      <c r="U64" s="29"/>
    </row>
    <row r="65" spans="1:31">
      <c r="G65" s="12" t="s">
        <v>103</v>
      </c>
      <c r="H65" s="24">
        <v>1</v>
      </c>
      <c r="I65" s="24">
        <v>1</v>
      </c>
      <c r="J65" s="24"/>
      <c r="S65" s="28"/>
      <c r="T65" s="28">
        <v>17</v>
      </c>
      <c r="U65" s="30"/>
    </row>
    <row r="66" spans="1:31">
      <c r="G66" s="12" t="s">
        <v>44</v>
      </c>
      <c r="H66" s="24">
        <v>2</v>
      </c>
      <c r="I66" s="24">
        <v>2</v>
      </c>
      <c r="J66" s="24"/>
      <c r="S66" s="28"/>
      <c r="T66" s="28">
        <v>17</v>
      </c>
      <c r="U66" s="28"/>
    </row>
    <row r="67" spans="1:31">
      <c r="G67" s="12" t="s">
        <v>8</v>
      </c>
      <c r="H67" s="24">
        <v>8</v>
      </c>
      <c r="I67" s="24">
        <v>8</v>
      </c>
      <c r="J67" s="24"/>
      <c r="T67" s="3">
        <v>17</v>
      </c>
    </row>
    <row r="68" spans="1:31">
      <c r="G68" s="12" t="s">
        <v>101</v>
      </c>
      <c r="H68" s="24">
        <v>1</v>
      </c>
      <c r="I68" s="24">
        <v>1</v>
      </c>
      <c r="J68" s="24"/>
      <c r="T68" s="3">
        <v>19</v>
      </c>
    </row>
    <row r="69" spans="1:31">
      <c r="G69" s="12" t="s">
        <v>63</v>
      </c>
      <c r="H69" s="24">
        <v>8</v>
      </c>
      <c r="I69" s="24">
        <v>7</v>
      </c>
      <c r="J69" s="24">
        <v>1</v>
      </c>
      <c r="T69" s="3">
        <v>20</v>
      </c>
    </row>
    <row r="70" spans="1:31">
      <c r="G70" s="12" t="s">
        <v>17</v>
      </c>
      <c r="H70" s="24">
        <v>7</v>
      </c>
      <c r="I70" s="24">
        <v>6</v>
      </c>
      <c r="J70" s="24">
        <v>1</v>
      </c>
      <c r="T70" s="3">
        <v>21</v>
      </c>
    </row>
    <row r="71" spans="1:31">
      <c r="G71" s="12" t="s">
        <v>65</v>
      </c>
      <c r="H71" s="24">
        <v>2</v>
      </c>
      <c r="I71" s="24">
        <v>2</v>
      </c>
      <c r="J71" s="24"/>
      <c r="T71" s="3">
        <v>18</v>
      </c>
    </row>
    <row r="72" spans="1:31">
      <c r="G72" s="12" t="s">
        <v>62</v>
      </c>
      <c r="H72" s="24">
        <v>7</v>
      </c>
      <c r="I72" s="24">
        <v>6</v>
      </c>
      <c r="J72" s="24">
        <v>1</v>
      </c>
      <c r="T72" s="3">
        <v>18.600000000000001</v>
      </c>
    </row>
    <row r="73" spans="1:31" s="3" customFormat="1">
      <c r="A73"/>
      <c r="B73" s="15"/>
      <c r="G73" s="12" t="s">
        <v>36</v>
      </c>
      <c r="H73" s="24">
        <f>J74+I73</f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43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45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93</v>
      </c>
      <c r="H76" s="24">
        <v>1</v>
      </c>
      <c r="I76" s="24">
        <v>1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46</v>
      </c>
      <c r="H77" s="24">
        <v>1</v>
      </c>
      <c r="I77" s="24">
        <v>1</v>
      </c>
      <c r="J77" s="2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60</v>
      </c>
      <c r="H78" s="24">
        <v>4</v>
      </c>
      <c r="I78" s="24">
        <v>4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G79" s="12" t="s">
        <v>48</v>
      </c>
      <c r="H79" s="24">
        <v>1</v>
      </c>
      <c r="I79" s="24"/>
      <c r="J79" s="24">
        <v>1</v>
      </c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G80" s="12" t="s">
        <v>95</v>
      </c>
      <c r="H80" s="24">
        <v>6</v>
      </c>
      <c r="I80" s="24">
        <v>6</v>
      </c>
      <c r="J80" s="2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24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  <row r="112" spans="1:31" s="3" customFormat="1">
      <c r="A112"/>
      <c r="B112" s="15"/>
      <c r="J112" s="4"/>
      <c r="N112" s="3">
        <v>19</v>
      </c>
      <c r="W112" s="20"/>
      <c r="X112"/>
      <c r="Y112"/>
      <c r="Z112"/>
      <c r="AA112"/>
      <c r="AB112"/>
      <c r="AC112"/>
      <c r="AD112"/>
      <c r="AE112"/>
    </row>
    <row r="113" spans="1:31" s="3" customFormat="1">
      <c r="A113"/>
      <c r="B113" s="15"/>
      <c r="J113" s="4"/>
      <c r="N113" s="3">
        <v>22</v>
      </c>
      <c r="W113" s="20"/>
      <c r="X113"/>
      <c r="Y113"/>
      <c r="Z113"/>
      <c r="AA113"/>
      <c r="AB113"/>
      <c r="AC113"/>
      <c r="AD113"/>
      <c r="AE113"/>
    </row>
  </sheetData>
  <autoFilter ref="A6:AE53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8"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8:W19"/>
    <mergeCell ref="L20:L22"/>
    <mergeCell ref="V20:V23"/>
    <mergeCell ref="T24:U28"/>
    <mergeCell ref="V24:V28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W30:W34"/>
    <mergeCell ref="L31:L32"/>
    <mergeCell ref="M31:R32"/>
    <mergeCell ref="S31:S32"/>
    <mergeCell ref="T31:U32"/>
    <mergeCell ref="V31:V32"/>
    <mergeCell ref="L33:L34"/>
    <mergeCell ref="M33:R34"/>
    <mergeCell ref="L23:L28"/>
    <mergeCell ref="M24:R28"/>
    <mergeCell ref="M20:R23"/>
    <mergeCell ref="S20:S23"/>
    <mergeCell ref="T20:U23"/>
    <mergeCell ref="S33:S34"/>
    <mergeCell ref="T33:U34"/>
    <mergeCell ref="V33:V34"/>
    <mergeCell ref="S24:S28"/>
    <mergeCell ref="W20:W23"/>
    <mergeCell ref="W24:W28"/>
    <mergeCell ref="L35:L36"/>
    <mergeCell ref="M35:R36"/>
    <mergeCell ref="S35:S36"/>
    <mergeCell ref="T35:U36"/>
    <mergeCell ref="V35:V36"/>
    <mergeCell ref="L29:V29"/>
    <mergeCell ref="M30:R30"/>
    <mergeCell ref="A41:N41"/>
    <mergeCell ref="O41:V41"/>
    <mergeCell ref="C42:D42"/>
    <mergeCell ref="E42:G42"/>
    <mergeCell ref="H42:J42"/>
    <mergeCell ref="K42:N42"/>
    <mergeCell ref="O42:R42"/>
    <mergeCell ref="M37:R37"/>
    <mergeCell ref="M38:R38"/>
    <mergeCell ref="M39:R39"/>
    <mergeCell ref="A40:B40"/>
    <mergeCell ref="F40:G40"/>
    <mergeCell ref="M40:R40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R45"/>
    <mergeCell ref="C46:D46"/>
    <mergeCell ref="E46:G46"/>
    <mergeCell ref="H46:J46"/>
    <mergeCell ref="K46:N46"/>
    <mergeCell ref="O46:V46"/>
    <mergeCell ref="C50:D50"/>
    <mergeCell ref="E50:G50"/>
    <mergeCell ref="H50:J50"/>
    <mergeCell ref="K50:N50"/>
    <mergeCell ref="O50:V50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A53:V53"/>
    <mergeCell ref="A54:V54"/>
    <mergeCell ref="A55:N55"/>
    <mergeCell ref="O55:V55"/>
    <mergeCell ref="A56:N60"/>
    <mergeCell ref="O56:V60"/>
    <mergeCell ref="C51:D51"/>
    <mergeCell ref="E51:G51"/>
    <mergeCell ref="H51:J51"/>
    <mergeCell ref="K51:N51"/>
    <mergeCell ref="O51:V51"/>
    <mergeCell ref="C52:D52"/>
    <mergeCell ref="E52:G52"/>
    <mergeCell ref="H52:J52"/>
    <mergeCell ref="K52:N52"/>
    <mergeCell ref="O52:V52"/>
  </mergeCells>
  <printOptions horizontalCentered="1"/>
  <pageMargins left="0.25" right="0.25" top="0" bottom="2.25" header="0" footer="0"/>
  <pageSetup paperSize="5" scale="2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5C9B-56BA-4CBE-ADD2-AEE53640E3B5}">
  <sheetPr>
    <pageSetUpPr fitToPage="1"/>
  </sheetPr>
  <dimension ref="A1:AH111"/>
  <sheetViews>
    <sheetView rightToLeft="1" view="pageBreakPreview" topLeftCell="A4" zoomScale="40" zoomScaleNormal="110" zoomScaleSheetLayoutView="40" workbookViewId="0">
      <selection activeCell="H49" sqref="H49:J49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168</v>
      </c>
      <c r="S1" s="297"/>
      <c r="T1" s="300" t="s">
        <v>204</v>
      </c>
      <c r="U1" s="300"/>
      <c r="V1" s="420" t="s">
        <v>205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421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421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206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/>
      <c r="J9" s="40">
        <v>1</v>
      </c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/>
      <c r="J10" s="40">
        <v>1</v>
      </c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7</v>
      </c>
      <c r="I11" s="81"/>
      <c r="J11" s="40">
        <v>7</v>
      </c>
      <c r="K11" s="40"/>
      <c r="L11" s="186">
        <v>2</v>
      </c>
      <c r="M11" s="390" t="s">
        <v>207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220865</v>
      </c>
      <c r="W11" s="236">
        <f>V11+T11</f>
        <v>220865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/>
      <c r="J12" s="40">
        <v>1</v>
      </c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2</v>
      </c>
      <c r="J14" s="40"/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40">
        <v>2</v>
      </c>
      <c r="I15" s="40">
        <v>2</v>
      </c>
      <c r="J15" s="40"/>
      <c r="K15" s="40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3</v>
      </c>
      <c r="I16" s="152"/>
      <c r="J16" s="152">
        <v>3</v>
      </c>
      <c r="K16" s="152"/>
      <c r="L16" s="152">
        <v>4</v>
      </c>
      <c r="M16" s="431" t="s">
        <v>208</v>
      </c>
      <c r="N16" s="432"/>
      <c r="O16" s="432"/>
      <c r="P16" s="432"/>
      <c r="Q16" s="432"/>
      <c r="R16" s="433"/>
      <c r="S16" s="434" t="s">
        <v>85</v>
      </c>
      <c r="T16" s="367">
        <v>0</v>
      </c>
      <c r="U16" s="368"/>
      <c r="V16" s="445">
        <v>47026</v>
      </c>
      <c r="W16" s="47">
        <f>V16+T16</f>
        <v>47026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35"/>
      <c r="T17" s="371"/>
      <c r="U17" s="372"/>
      <c r="V17" s="447"/>
      <c r="W17" s="47"/>
    </row>
    <row r="18" spans="1:27" ht="51.95" customHeight="1">
      <c r="A18" s="84">
        <v>11</v>
      </c>
      <c r="B18" s="27" t="s">
        <v>21</v>
      </c>
      <c r="C18" s="40">
        <v>2</v>
      </c>
      <c r="D18" s="40">
        <v>1</v>
      </c>
      <c r="E18" s="40">
        <v>1</v>
      </c>
      <c r="F18" s="40">
        <v>11</v>
      </c>
      <c r="G18" s="27" t="s">
        <v>102</v>
      </c>
      <c r="H18" s="40">
        <v>2</v>
      </c>
      <c r="I18" s="40"/>
      <c r="J18" s="40">
        <v>1</v>
      </c>
      <c r="K18" s="40"/>
      <c r="L18" s="186">
        <v>5</v>
      </c>
      <c r="M18" s="422" t="s">
        <v>209</v>
      </c>
      <c r="N18" s="423"/>
      <c r="O18" s="423"/>
      <c r="P18" s="423"/>
      <c r="Q18" s="423"/>
      <c r="R18" s="424"/>
      <c r="S18" s="160" t="s">
        <v>85</v>
      </c>
      <c r="T18" s="367">
        <v>0</v>
      </c>
      <c r="U18" s="368"/>
      <c r="V18" s="445">
        <v>102146</v>
      </c>
      <c r="W18" s="178">
        <f>V18+T18</f>
        <v>102146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2</v>
      </c>
      <c r="J19" s="40">
        <v>3</v>
      </c>
      <c r="K19" s="40"/>
      <c r="L19" s="186"/>
      <c r="M19" s="425"/>
      <c r="N19" s="426"/>
      <c r="O19" s="426"/>
      <c r="P19" s="426"/>
      <c r="Q19" s="426"/>
      <c r="R19" s="427"/>
      <c r="S19" s="161"/>
      <c r="T19" s="371"/>
      <c r="U19" s="372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203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40859</v>
      </c>
      <c r="W20" s="178">
        <f>V20+T20</f>
        <v>40859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27" t="s">
        <v>8</v>
      </c>
      <c r="C23" s="59">
        <v>12</v>
      </c>
      <c r="D23" s="40">
        <v>10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52">
        <v>7</v>
      </c>
      <c r="M23" s="215"/>
      <c r="N23" s="216"/>
      <c r="O23" s="216"/>
      <c r="P23" s="216"/>
      <c r="Q23" s="216"/>
      <c r="R23" s="217"/>
      <c r="S23" s="444"/>
      <c r="T23" s="371"/>
      <c r="U23" s="372"/>
      <c r="V23" s="447"/>
      <c r="W23" s="178"/>
      <c r="Z23" s="1"/>
    </row>
    <row r="24" spans="1:27" ht="51.95" customHeight="1">
      <c r="A24" s="84">
        <v>17</v>
      </c>
      <c r="B24" s="27" t="s">
        <v>63</v>
      </c>
      <c r="C24" s="59">
        <v>14</v>
      </c>
      <c r="D24" s="40">
        <v>12</v>
      </c>
      <c r="E24" s="40">
        <v>2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01" t="s">
        <v>210</v>
      </c>
      <c r="N24" s="402"/>
      <c r="O24" s="402"/>
      <c r="P24" s="402"/>
      <c r="Q24" s="402"/>
      <c r="R24" s="403"/>
      <c r="S24" s="442" t="s">
        <v>85</v>
      </c>
      <c r="T24" s="360">
        <v>0</v>
      </c>
      <c r="U24" s="361"/>
      <c r="V24" s="445">
        <v>32112</v>
      </c>
      <c r="W24" s="209">
        <f>V24+T24</f>
        <v>32112</v>
      </c>
      <c r="Z24" s="1"/>
    </row>
    <row r="25" spans="1:27" ht="51.95" customHeight="1">
      <c r="A25" s="84">
        <v>18</v>
      </c>
      <c r="B25" s="27" t="s">
        <v>17</v>
      </c>
      <c r="C25" s="40">
        <v>7</v>
      </c>
      <c r="D25" s="40">
        <v>5</v>
      </c>
      <c r="E25" s="40">
        <v>2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87"/>
      <c r="M25" s="404"/>
      <c r="N25" s="405"/>
      <c r="O25" s="405"/>
      <c r="P25" s="405"/>
      <c r="Q25" s="405"/>
      <c r="R25" s="406"/>
      <c r="S25" s="443"/>
      <c r="T25" s="362"/>
      <c r="U25" s="363"/>
      <c r="V25" s="446"/>
      <c r="W25" s="209"/>
      <c r="Z25" s="1">
        <v>35734</v>
      </c>
      <c r="AA25">
        <f>Z25/Z26</f>
        <v>0.30193748996611719</v>
      </c>
    </row>
    <row r="26" spans="1:27" s="6" customFormat="1" ht="51.95" customHeight="1">
      <c r="A26" s="84">
        <v>19</v>
      </c>
      <c r="B26" s="27" t="s">
        <v>43</v>
      </c>
      <c r="C26" s="40">
        <v>1</v>
      </c>
      <c r="D26" s="40">
        <v>1</v>
      </c>
      <c r="E26" s="40"/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405"/>
      <c r="O26" s="405"/>
      <c r="P26" s="405"/>
      <c r="Q26" s="405"/>
      <c r="R26" s="406"/>
      <c r="S26" s="443"/>
      <c r="T26" s="362"/>
      <c r="U26" s="363"/>
      <c r="V26" s="446"/>
      <c r="W26" s="209"/>
      <c r="Z26" s="34">
        <v>118349</v>
      </c>
    </row>
    <row r="27" spans="1:27" s="6" customFormat="1" ht="51.95" customHeight="1">
      <c r="A27" s="84">
        <v>20</v>
      </c>
      <c r="B27" s="27" t="s">
        <v>45</v>
      </c>
      <c r="C27" s="40">
        <v>2</v>
      </c>
      <c r="D27" s="40"/>
      <c r="E27" s="40">
        <v>2</v>
      </c>
      <c r="F27" s="40">
        <v>20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04"/>
      <c r="N27" s="405"/>
      <c r="O27" s="405"/>
      <c r="P27" s="405"/>
      <c r="Q27" s="405"/>
      <c r="R27" s="406"/>
      <c r="S27" s="443"/>
      <c r="T27" s="362"/>
      <c r="U27" s="363"/>
      <c r="V27" s="446"/>
      <c r="W27" s="209"/>
      <c r="Z27" s="34"/>
    </row>
    <row r="28" spans="1:27" s="6" customFormat="1" ht="51.95" customHeight="1">
      <c r="A28" s="84">
        <v>21</v>
      </c>
      <c r="B28" s="27" t="s">
        <v>58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53"/>
      <c r="M28" s="407"/>
      <c r="N28" s="408"/>
      <c r="O28" s="408"/>
      <c r="P28" s="408"/>
      <c r="Q28" s="408"/>
      <c r="R28" s="409"/>
      <c r="S28" s="444"/>
      <c r="T28" s="364"/>
      <c r="U28" s="365"/>
      <c r="V28" s="447"/>
      <c r="W28" s="209"/>
      <c r="Z28" s="34"/>
    </row>
    <row r="29" spans="1:27" ht="51.95" customHeight="1">
      <c r="A29" s="84">
        <v>22</v>
      </c>
      <c r="B29" s="27" t="s">
        <v>101</v>
      </c>
      <c r="C29" s="40">
        <v>1</v>
      </c>
      <c r="D29" s="40">
        <v>1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68" t="s">
        <v>104</v>
      </c>
      <c r="M29" s="169"/>
      <c r="N29" s="169"/>
      <c r="O29" s="169"/>
      <c r="P29" s="169"/>
      <c r="Q29" s="169"/>
      <c r="R29" s="169"/>
      <c r="S29" s="169"/>
      <c r="T29" s="169"/>
      <c r="U29" s="169"/>
      <c r="V29" s="170"/>
      <c r="W29" s="32"/>
      <c r="Z29" s="1"/>
    </row>
    <row r="30" spans="1:27" ht="51.95" customHeight="1">
      <c r="A30" s="84">
        <v>23</v>
      </c>
      <c r="B30" s="27" t="s">
        <v>44</v>
      </c>
      <c r="C30" s="40">
        <v>2</v>
      </c>
      <c r="D30" s="40">
        <v>2</v>
      </c>
      <c r="E30" s="40"/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40">
        <v>1</v>
      </c>
      <c r="M30" s="171" t="s">
        <v>211</v>
      </c>
      <c r="N30" s="172"/>
      <c r="O30" s="172"/>
      <c r="P30" s="172"/>
      <c r="Q30" s="172"/>
      <c r="R30" s="173"/>
      <c r="S30" s="49"/>
      <c r="T30" s="50"/>
      <c r="U30" s="51"/>
      <c r="V30" s="54"/>
      <c r="W30" s="178"/>
      <c r="Z30" s="1"/>
    </row>
    <row r="31" spans="1:27" ht="51.95" customHeight="1">
      <c r="A31" s="84">
        <v>24</v>
      </c>
      <c r="B31" s="27" t="s">
        <v>103</v>
      </c>
      <c r="C31" s="40">
        <v>1</v>
      </c>
      <c r="D31" s="40"/>
      <c r="E31" s="40">
        <v>1</v>
      </c>
      <c r="F31" s="40">
        <v>24</v>
      </c>
      <c r="G31" s="27" t="s">
        <v>97</v>
      </c>
      <c r="H31" s="40">
        <v>2</v>
      </c>
      <c r="I31" s="40"/>
      <c r="J31" s="40"/>
      <c r="K31" s="40"/>
      <c r="L31" s="152">
        <v>2</v>
      </c>
      <c r="M31" s="180"/>
      <c r="N31" s="181"/>
      <c r="O31" s="181"/>
      <c r="P31" s="181"/>
      <c r="Q31" s="181"/>
      <c r="R31" s="182"/>
      <c r="S31" s="160"/>
      <c r="T31" s="162"/>
      <c r="U31" s="163"/>
      <c r="V31" s="166"/>
      <c r="W31" s="179"/>
      <c r="Z31" s="1"/>
    </row>
    <row r="32" spans="1:27" ht="51.95" customHeight="1">
      <c r="A32" s="84">
        <v>25</v>
      </c>
      <c r="B32" s="27" t="s">
        <v>60</v>
      </c>
      <c r="C32" s="40">
        <v>3</v>
      </c>
      <c r="D32" s="40">
        <v>1</v>
      </c>
      <c r="E32" s="40">
        <v>2</v>
      </c>
      <c r="F32" s="40"/>
      <c r="G32" s="86" t="s">
        <v>212</v>
      </c>
      <c r="H32" s="40">
        <v>1</v>
      </c>
      <c r="I32" s="40">
        <v>1</v>
      </c>
      <c r="J32" s="40"/>
      <c r="K32" s="40"/>
      <c r="L32" s="153"/>
      <c r="M32" s="183"/>
      <c r="N32" s="184"/>
      <c r="O32" s="184"/>
      <c r="P32" s="184"/>
      <c r="Q32" s="184"/>
      <c r="R32" s="185"/>
      <c r="S32" s="161"/>
      <c r="T32" s="164"/>
      <c r="U32" s="165"/>
      <c r="V32" s="167"/>
      <c r="W32" s="179"/>
      <c r="Z32" s="1"/>
    </row>
    <row r="33" spans="1:27" ht="51.95" customHeight="1">
      <c r="A33" s="84">
        <v>26</v>
      </c>
      <c r="B33" s="27" t="s">
        <v>65</v>
      </c>
      <c r="C33" s="40">
        <v>3</v>
      </c>
      <c r="D33" s="40">
        <v>1</v>
      </c>
      <c r="E33" s="40">
        <v>2</v>
      </c>
      <c r="F33" s="40"/>
      <c r="G33" s="27"/>
      <c r="H33" s="40"/>
      <c r="I33" s="40"/>
      <c r="J33" s="40"/>
      <c r="K33" s="40"/>
      <c r="L33" s="186">
        <v>3</v>
      </c>
      <c r="M33" s="180"/>
      <c r="N33" s="181"/>
      <c r="O33" s="181"/>
      <c r="P33" s="181"/>
      <c r="Q33" s="181"/>
      <c r="R33" s="182"/>
      <c r="S33" s="160"/>
      <c r="T33" s="162"/>
      <c r="U33" s="163"/>
      <c r="V33" s="166"/>
      <c r="W33" s="179"/>
      <c r="Z33" s="1"/>
    </row>
    <row r="34" spans="1:27" ht="51.95" customHeight="1">
      <c r="A34" s="84">
        <v>27</v>
      </c>
      <c r="B34" s="27" t="s">
        <v>62</v>
      </c>
      <c r="C34" s="40">
        <v>9</v>
      </c>
      <c r="D34" s="40">
        <v>6</v>
      </c>
      <c r="E34" s="40">
        <v>3</v>
      </c>
      <c r="F34" s="40"/>
      <c r="G34" s="27"/>
      <c r="H34" s="40"/>
      <c r="I34" s="40"/>
      <c r="J34" s="40"/>
      <c r="K34" s="40"/>
      <c r="L34" s="186"/>
      <c r="M34" s="183"/>
      <c r="N34" s="184"/>
      <c r="O34" s="184"/>
      <c r="P34" s="184"/>
      <c r="Q34" s="184"/>
      <c r="R34" s="185"/>
      <c r="S34" s="161"/>
      <c r="T34" s="164"/>
      <c r="U34" s="165"/>
      <c r="V34" s="167"/>
      <c r="W34" s="179"/>
      <c r="Z34" s="1"/>
    </row>
    <row r="35" spans="1:27" ht="51.95" customHeight="1">
      <c r="A35" s="84">
        <v>28</v>
      </c>
      <c r="B35" s="27" t="s">
        <v>36</v>
      </c>
      <c r="C35" s="40">
        <v>1</v>
      </c>
      <c r="D35" s="40">
        <v>1</v>
      </c>
      <c r="E35" s="40"/>
      <c r="F35" s="40"/>
      <c r="G35" s="27"/>
      <c r="H35" s="40"/>
      <c r="I35" s="40"/>
      <c r="J35" s="40"/>
      <c r="K35" s="40"/>
      <c r="L35" s="152">
        <v>4</v>
      </c>
      <c r="M35" s="384"/>
      <c r="N35" s="385"/>
      <c r="O35" s="385"/>
      <c r="P35" s="385"/>
      <c r="Q35" s="385"/>
      <c r="R35" s="386"/>
      <c r="S35" s="160"/>
      <c r="T35" s="162"/>
      <c r="U35" s="163"/>
      <c r="V35" s="166"/>
      <c r="W35" s="16"/>
      <c r="Z35" s="1"/>
    </row>
    <row r="36" spans="1:27" ht="51.95" customHeight="1">
      <c r="A36" s="84">
        <v>29</v>
      </c>
      <c r="B36" s="27" t="s">
        <v>93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3"/>
      <c r="M36" s="387"/>
      <c r="N36" s="388"/>
      <c r="O36" s="388"/>
      <c r="P36" s="388"/>
      <c r="Q36" s="388"/>
      <c r="R36" s="389"/>
      <c r="S36" s="161"/>
      <c r="T36" s="164"/>
      <c r="U36" s="165"/>
      <c r="V36" s="167"/>
      <c r="W36" s="16"/>
      <c r="Z36" s="1"/>
    </row>
    <row r="37" spans="1:27" ht="51.95" customHeight="1">
      <c r="A37" s="84">
        <v>30</v>
      </c>
      <c r="B37" s="27" t="s">
        <v>46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84">
        <v>31</v>
      </c>
      <c r="B38" s="70" t="s">
        <v>118</v>
      </c>
      <c r="C38" s="64">
        <v>4</v>
      </c>
      <c r="D38" s="64">
        <v>2</v>
      </c>
      <c r="E38" s="64">
        <v>2</v>
      </c>
      <c r="F38" s="64"/>
      <c r="G38" s="70"/>
      <c r="H38" s="64"/>
      <c r="I38" s="64"/>
      <c r="J38" s="64"/>
      <c r="K38" s="64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84</v>
      </c>
      <c r="D39" s="61">
        <f>SUM(D7:D38)</f>
        <v>61</v>
      </c>
      <c r="E39" s="61">
        <f>SUM(E7:E38)</f>
        <v>23</v>
      </c>
      <c r="F39" s="151" t="s">
        <v>9</v>
      </c>
      <c r="G39" s="151"/>
      <c r="H39" s="64">
        <f>SUM(H7:H37)</f>
        <v>75</v>
      </c>
      <c r="I39" s="64">
        <f>SUM(I7:I37)</f>
        <v>52</v>
      </c>
      <c r="J39" s="64">
        <f>SUM(J7:J37)</f>
        <v>18</v>
      </c>
      <c r="K39" s="64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16.25" customHeight="1">
      <c r="A42" s="85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0</v>
      </c>
      <c r="I42" s="136"/>
      <c r="J42" s="135"/>
      <c r="K42" s="134">
        <v>99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80">
        <f>K42+H42</f>
        <v>99</v>
      </c>
      <c r="Y42" s="8"/>
    </row>
    <row r="43" spans="1:27" ht="108" customHeight="1">
      <c r="A43" s="85">
        <v>2</v>
      </c>
      <c r="B43" s="74" t="s">
        <v>136</v>
      </c>
      <c r="C43" s="117"/>
      <c r="D43" s="118"/>
      <c r="E43" s="109">
        <f>2527+29</f>
        <v>2556</v>
      </c>
      <c r="F43" s="111"/>
      <c r="G43" s="110"/>
      <c r="H43" s="134">
        <v>0</v>
      </c>
      <c r="I43" s="136"/>
      <c r="J43" s="135"/>
      <c r="K43" s="134">
        <v>683</v>
      </c>
      <c r="L43" s="136"/>
      <c r="M43" s="136"/>
      <c r="N43" s="135"/>
      <c r="O43" s="129"/>
      <c r="P43" s="130"/>
      <c r="Q43" s="130"/>
      <c r="R43" s="131"/>
      <c r="S43" s="56"/>
      <c r="T43" s="56"/>
      <c r="U43" s="57"/>
      <c r="V43" s="58"/>
      <c r="W43" s="80">
        <f t="shared" ref="W43:W50" si="2">K43+H43</f>
        <v>683</v>
      </c>
      <c r="X43" s="2"/>
      <c r="Y43" s="7"/>
      <c r="Z43" s="7"/>
      <c r="AA43" s="9"/>
    </row>
    <row r="44" spans="1:27" ht="90.75" customHeight="1">
      <c r="A44" s="85">
        <v>3</v>
      </c>
      <c r="B44" s="74" t="s">
        <v>80</v>
      </c>
      <c r="C44" s="122"/>
      <c r="D44" s="123"/>
      <c r="E44" s="109">
        <v>140000</v>
      </c>
      <c r="F44" s="111"/>
      <c r="G44" s="110"/>
      <c r="H44" s="109">
        <v>0</v>
      </c>
      <c r="I44" s="111"/>
      <c r="J44" s="110"/>
      <c r="K44" s="109">
        <v>127546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127546</v>
      </c>
      <c r="X44" s="2"/>
      <c r="Y44" s="7"/>
      <c r="Z44" s="7"/>
      <c r="AA44" s="9"/>
    </row>
    <row r="45" spans="1:27" ht="65.099999999999994" customHeight="1">
      <c r="A45" s="85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>
        <v>0</v>
      </c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85">
        <v>5</v>
      </c>
      <c r="B46" s="74" t="s">
        <v>114</v>
      </c>
      <c r="C46" s="122">
        <v>0</v>
      </c>
      <c r="D46" s="123"/>
      <c r="E46" s="109">
        <v>1228</v>
      </c>
      <c r="F46" s="111"/>
      <c r="G46" s="110"/>
      <c r="H46" s="109">
        <v>0</v>
      </c>
      <c r="I46" s="111"/>
      <c r="J46" s="110"/>
      <c r="K46" s="109">
        <v>1228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1228</v>
      </c>
      <c r="X46" s="2"/>
      <c r="Y46" s="7"/>
      <c r="Z46" s="7"/>
      <c r="AA46" s="9"/>
    </row>
    <row r="47" spans="1:27" ht="65.099999999999994" customHeight="1">
      <c r="A47" s="85">
        <v>6</v>
      </c>
      <c r="B47" s="74" t="s">
        <v>115</v>
      </c>
      <c r="C47" s="122">
        <v>35</v>
      </c>
      <c r="D47" s="123"/>
      <c r="E47" s="109">
        <v>7472</v>
      </c>
      <c r="F47" s="111"/>
      <c r="G47" s="110"/>
      <c r="H47" s="109">
        <v>35</v>
      </c>
      <c r="I47" s="111"/>
      <c r="J47" s="110"/>
      <c r="K47" s="109">
        <v>7472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7507</v>
      </c>
      <c r="X47" s="2"/>
      <c r="Y47" s="7"/>
      <c r="Z47" s="7"/>
      <c r="AA47" s="9"/>
    </row>
    <row r="48" spans="1:27" ht="65.099999999999994" customHeight="1">
      <c r="A48" s="85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85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85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65.2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63.7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 t="s">
        <v>67</v>
      </c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8.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452"/>
      <c r="P57" s="452"/>
      <c r="Q57" s="452"/>
      <c r="R57" s="452"/>
      <c r="S57" s="452"/>
      <c r="T57" s="452"/>
      <c r="U57" s="452"/>
      <c r="V57" s="453"/>
    </row>
    <row r="58" spans="1:27" ht="86.2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454"/>
      <c r="P58" s="454"/>
      <c r="Q58" s="454"/>
      <c r="R58" s="454"/>
      <c r="S58" s="454"/>
      <c r="T58" s="454"/>
      <c r="U58" s="454"/>
      <c r="V58" s="455"/>
    </row>
    <row r="61" spans="1:27">
      <c r="S61" s="28"/>
      <c r="T61" s="28"/>
      <c r="U61" s="28"/>
    </row>
    <row r="62" spans="1:27">
      <c r="G62" s="12" t="s">
        <v>58</v>
      </c>
      <c r="H62" s="24">
        <v>1</v>
      </c>
      <c r="I62" s="24"/>
      <c r="J62" s="24">
        <v>1</v>
      </c>
      <c r="S62" s="28"/>
      <c r="T62" s="28">
        <v>17</v>
      </c>
      <c r="U62" s="29"/>
    </row>
    <row r="63" spans="1:27">
      <c r="G63" s="12" t="s">
        <v>103</v>
      </c>
      <c r="H63" s="24">
        <v>1</v>
      </c>
      <c r="I63" s="24">
        <v>1</v>
      </c>
      <c r="J63" s="24"/>
      <c r="S63" s="28"/>
      <c r="T63" s="28">
        <v>17</v>
      </c>
      <c r="U63" s="30"/>
    </row>
    <row r="64" spans="1:27">
      <c r="G64" s="12" t="s">
        <v>44</v>
      </c>
      <c r="H64" s="24">
        <v>2</v>
      </c>
      <c r="I64" s="24">
        <v>2</v>
      </c>
      <c r="J64" s="24"/>
      <c r="S64" s="28"/>
      <c r="T64" s="28">
        <v>17</v>
      </c>
      <c r="U64" s="28"/>
    </row>
    <row r="65" spans="1:31">
      <c r="G65" s="12" t="s">
        <v>8</v>
      </c>
      <c r="H65" s="24">
        <v>8</v>
      </c>
      <c r="I65" s="24">
        <v>8</v>
      </c>
      <c r="J65" s="24"/>
      <c r="T65" s="3">
        <v>17</v>
      </c>
    </row>
    <row r="66" spans="1:31">
      <c r="G66" s="12" t="s">
        <v>101</v>
      </c>
      <c r="H66" s="24">
        <v>1</v>
      </c>
      <c r="I66" s="24">
        <v>1</v>
      </c>
      <c r="J66" s="24"/>
      <c r="T66" s="3">
        <v>19</v>
      </c>
    </row>
    <row r="67" spans="1:31">
      <c r="G67" s="12" t="s">
        <v>63</v>
      </c>
      <c r="H67" s="24">
        <v>8</v>
      </c>
      <c r="I67" s="24">
        <v>7</v>
      </c>
      <c r="J67" s="24">
        <v>1</v>
      </c>
      <c r="T67" s="3">
        <v>20</v>
      </c>
    </row>
    <row r="68" spans="1:31">
      <c r="G68" s="12" t="s">
        <v>17</v>
      </c>
      <c r="H68" s="24">
        <v>7</v>
      </c>
      <c r="I68" s="24">
        <v>6</v>
      </c>
      <c r="J68" s="24">
        <v>1</v>
      </c>
      <c r="T68" s="3">
        <v>21</v>
      </c>
    </row>
    <row r="69" spans="1:31">
      <c r="G69" s="12" t="s">
        <v>65</v>
      </c>
      <c r="H69" s="24">
        <v>2</v>
      </c>
      <c r="I69" s="24">
        <v>2</v>
      </c>
      <c r="J69" s="24"/>
      <c r="T69" s="3">
        <v>18</v>
      </c>
    </row>
    <row r="70" spans="1:31">
      <c r="G70" s="12" t="s">
        <v>62</v>
      </c>
      <c r="H70" s="24">
        <v>7</v>
      </c>
      <c r="I70" s="24">
        <v>6</v>
      </c>
      <c r="J70" s="24">
        <v>1</v>
      </c>
      <c r="T70" s="3">
        <v>18.600000000000001</v>
      </c>
    </row>
    <row r="71" spans="1:31" s="3" customFormat="1">
      <c r="A71"/>
      <c r="B71" s="15"/>
      <c r="G71" s="12" t="s">
        <v>36</v>
      </c>
      <c r="H71" s="24">
        <f>J72+I71</f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43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45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93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46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60</v>
      </c>
      <c r="H76" s="24">
        <v>4</v>
      </c>
      <c r="I76" s="24">
        <v>4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48</v>
      </c>
      <c r="H77" s="24">
        <v>1</v>
      </c>
      <c r="I77" s="24"/>
      <c r="J77" s="24">
        <v>1</v>
      </c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95</v>
      </c>
      <c r="H78" s="24">
        <v>6</v>
      </c>
      <c r="I78" s="24">
        <v>6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2">
    <mergeCell ref="A52:V52"/>
    <mergeCell ref="A53:N53"/>
    <mergeCell ref="O53:V53"/>
    <mergeCell ref="A54:N58"/>
    <mergeCell ref="O54:V58"/>
    <mergeCell ref="A51:V51"/>
    <mergeCell ref="C49:D49"/>
    <mergeCell ref="E49:G49"/>
    <mergeCell ref="H49:J49"/>
    <mergeCell ref="K49:N49"/>
    <mergeCell ref="O49:V49"/>
    <mergeCell ref="C50:D50"/>
    <mergeCell ref="E50:G50"/>
    <mergeCell ref="H50:J50"/>
    <mergeCell ref="K50:N50"/>
    <mergeCell ref="O50:V50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1:D41"/>
    <mergeCell ref="E41:G41"/>
    <mergeCell ref="H41:J41"/>
    <mergeCell ref="K41:N41"/>
    <mergeCell ref="O41:R41"/>
    <mergeCell ref="C42:D42"/>
    <mergeCell ref="E42:G42"/>
    <mergeCell ref="H42:J42"/>
    <mergeCell ref="K42:N42"/>
    <mergeCell ref="O42:R42"/>
    <mergeCell ref="M38:R38"/>
    <mergeCell ref="A39:B39"/>
    <mergeCell ref="F39:G39"/>
    <mergeCell ref="M39:R39"/>
    <mergeCell ref="A40:N40"/>
    <mergeCell ref="O40:V40"/>
    <mergeCell ref="L35:L36"/>
    <mergeCell ref="M35:R36"/>
    <mergeCell ref="S35:S36"/>
    <mergeCell ref="T35:U36"/>
    <mergeCell ref="V35:V36"/>
    <mergeCell ref="M37:R37"/>
    <mergeCell ref="V31:V32"/>
    <mergeCell ref="L33:L34"/>
    <mergeCell ref="M33:R34"/>
    <mergeCell ref="S33:S34"/>
    <mergeCell ref="T33:U34"/>
    <mergeCell ref="V33:V34"/>
    <mergeCell ref="T24:U28"/>
    <mergeCell ref="V24:V28"/>
    <mergeCell ref="W24:W28"/>
    <mergeCell ref="L29:V29"/>
    <mergeCell ref="M30:R30"/>
    <mergeCell ref="W30:W34"/>
    <mergeCell ref="L31:L32"/>
    <mergeCell ref="M31:R32"/>
    <mergeCell ref="S31:S32"/>
    <mergeCell ref="T31:U32"/>
    <mergeCell ref="W18:W19"/>
    <mergeCell ref="L20:L22"/>
    <mergeCell ref="M20:R23"/>
    <mergeCell ref="S20:S23"/>
    <mergeCell ref="T20:U23"/>
    <mergeCell ref="V20:V23"/>
    <mergeCell ref="W20:W23"/>
    <mergeCell ref="L23:L28"/>
    <mergeCell ref="M24:R28"/>
    <mergeCell ref="S24:S28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</mergeCells>
  <phoneticPr fontId="52" type="noConversion"/>
  <printOptions horizontalCentered="1"/>
  <pageMargins left="0.25" right="0.25" top="0" bottom="2" header="0" footer="0"/>
  <pageSetup paperSize="5" scale="2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94F0-C8A2-4CE2-976F-406ED5CAA20E}">
  <sheetPr>
    <pageSetUpPr fitToPage="1"/>
  </sheetPr>
  <dimension ref="A1:AH111"/>
  <sheetViews>
    <sheetView rightToLeft="1" view="pageBreakPreview" topLeftCell="A10" zoomScale="40" zoomScaleNormal="110" zoomScaleSheetLayoutView="40" workbookViewId="0">
      <selection activeCell="M11" sqref="M11:R14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168</v>
      </c>
      <c r="S1" s="297"/>
      <c r="T1" s="300" t="s">
        <v>204</v>
      </c>
      <c r="U1" s="300"/>
      <c r="V1" s="420" t="s">
        <v>205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421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421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206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/>
      <c r="J9" s="40">
        <v>1</v>
      </c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/>
      <c r="J10" s="40">
        <v>1</v>
      </c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7</v>
      </c>
      <c r="I11" s="81"/>
      <c r="J11" s="40">
        <v>7</v>
      </c>
      <c r="K11" s="40"/>
      <c r="L11" s="186">
        <v>2</v>
      </c>
      <c r="M11" s="390" t="s">
        <v>207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220865</v>
      </c>
      <c r="W11" s="236">
        <f>V11+T11</f>
        <v>220865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/>
      <c r="J12" s="40">
        <v>1</v>
      </c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2</v>
      </c>
      <c r="J14" s="40"/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40">
        <v>2</v>
      </c>
      <c r="I15" s="40">
        <v>2</v>
      </c>
      <c r="J15" s="40"/>
      <c r="K15" s="40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3</v>
      </c>
      <c r="I16" s="152"/>
      <c r="J16" s="152">
        <v>3</v>
      </c>
      <c r="K16" s="152"/>
      <c r="L16" s="152">
        <v>4</v>
      </c>
      <c r="M16" s="431" t="s">
        <v>208</v>
      </c>
      <c r="N16" s="432"/>
      <c r="O16" s="432"/>
      <c r="P16" s="432"/>
      <c r="Q16" s="432"/>
      <c r="R16" s="433"/>
      <c r="S16" s="434" t="s">
        <v>85</v>
      </c>
      <c r="T16" s="367">
        <v>0</v>
      </c>
      <c r="U16" s="368"/>
      <c r="V16" s="445">
        <v>47026</v>
      </c>
      <c r="W16" s="47">
        <f>V16+T16</f>
        <v>47026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35"/>
      <c r="T17" s="371"/>
      <c r="U17" s="372"/>
      <c r="V17" s="447"/>
      <c r="W17" s="47"/>
    </row>
    <row r="18" spans="1:27" ht="51.95" customHeight="1">
      <c r="A18" s="84">
        <v>11</v>
      </c>
      <c r="B18" s="27" t="s">
        <v>21</v>
      </c>
      <c r="C18" s="40">
        <v>2</v>
      </c>
      <c r="D18" s="40">
        <v>1</v>
      </c>
      <c r="E18" s="40">
        <v>1</v>
      </c>
      <c r="F18" s="40">
        <v>11</v>
      </c>
      <c r="G18" s="27" t="s">
        <v>102</v>
      </c>
      <c r="H18" s="40">
        <v>2</v>
      </c>
      <c r="I18" s="40"/>
      <c r="J18" s="40">
        <v>1</v>
      </c>
      <c r="K18" s="40"/>
      <c r="L18" s="186">
        <v>5</v>
      </c>
      <c r="M18" s="422" t="s">
        <v>209</v>
      </c>
      <c r="N18" s="423"/>
      <c r="O18" s="423"/>
      <c r="P18" s="423"/>
      <c r="Q18" s="423"/>
      <c r="R18" s="424"/>
      <c r="S18" s="160" t="s">
        <v>85</v>
      </c>
      <c r="T18" s="367">
        <v>0</v>
      </c>
      <c r="U18" s="368"/>
      <c r="V18" s="445">
        <v>102146</v>
      </c>
      <c r="W18" s="178">
        <f>V18+T18</f>
        <v>102146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2</v>
      </c>
      <c r="J19" s="40">
        <v>3</v>
      </c>
      <c r="K19" s="40"/>
      <c r="L19" s="186"/>
      <c r="M19" s="425"/>
      <c r="N19" s="426"/>
      <c r="O19" s="426"/>
      <c r="P19" s="426"/>
      <c r="Q19" s="426"/>
      <c r="R19" s="427"/>
      <c r="S19" s="161"/>
      <c r="T19" s="371"/>
      <c r="U19" s="372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203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40859</v>
      </c>
      <c r="W20" s="178">
        <f>V20+T20</f>
        <v>40859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27" t="s">
        <v>8</v>
      </c>
      <c r="C23" s="59">
        <v>12</v>
      </c>
      <c r="D23" s="40">
        <v>10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52">
        <v>7</v>
      </c>
      <c r="M23" s="215"/>
      <c r="N23" s="216"/>
      <c r="O23" s="216"/>
      <c r="P23" s="216"/>
      <c r="Q23" s="216"/>
      <c r="R23" s="217"/>
      <c r="S23" s="444"/>
      <c r="T23" s="371"/>
      <c r="U23" s="372"/>
      <c r="V23" s="447"/>
      <c r="W23" s="178"/>
      <c r="Z23" s="1"/>
    </row>
    <row r="24" spans="1:27" ht="51.95" customHeight="1">
      <c r="A24" s="84">
        <v>17</v>
      </c>
      <c r="B24" s="27" t="s">
        <v>63</v>
      </c>
      <c r="C24" s="59">
        <v>14</v>
      </c>
      <c r="D24" s="40">
        <v>12</v>
      </c>
      <c r="E24" s="40">
        <v>2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01" t="s">
        <v>210</v>
      </c>
      <c r="N24" s="402"/>
      <c r="O24" s="402"/>
      <c r="P24" s="402"/>
      <c r="Q24" s="402"/>
      <c r="R24" s="403"/>
      <c r="S24" s="442" t="s">
        <v>85</v>
      </c>
      <c r="T24" s="360">
        <v>0</v>
      </c>
      <c r="U24" s="361"/>
      <c r="V24" s="445">
        <v>32112</v>
      </c>
      <c r="W24" s="209">
        <f>V24+T24</f>
        <v>32112</v>
      </c>
      <c r="Z24" s="1"/>
    </row>
    <row r="25" spans="1:27" ht="51.95" customHeight="1">
      <c r="A25" s="84">
        <v>18</v>
      </c>
      <c r="B25" s="27" t="s">
        <v>17</v>
      </c>
      <c r="C25" s="40">
        <v>7</v>
      </c>
      <c r="D25" s="40">
        <v>5</v>
      </c>
      <c r="E25" s="40">
        <v>2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87"/>
      <c r="M25" s="404"/>
      <c r="N25" s="405"/>
      <c r="O25" s="405"/>
      <c r="P25" s="405"/>
      <c r="Q25" s="405"/>
      <c r="R25" s="406"/>
      <c r="S25" s="443"/>
      <c r="T25" s="362"/>
      <c r="U25" s="363"/>
      <c r="V25" s="446"/>
      <c r="W25" s="209"/>
      <c r="Z25" s="1">
        <v>35734</v>
      </c>
      <c r="AA25">
        <f>Z25/Z26</f>
        <v>0.30193748996611719</v>
      </c>
    </row>
    <row r="26" spans="1:27" s="6" customFormat="1" ht="51.95" customHeight="1">
      <c r="A26" s="84">
        <v>19</v>
      </c>
      <c r="B26" s="27" t="s">
        <v>43</v>
      </c>
      <c r="C26" s="40">
        <v>1</v>
      </c>
      <c r="D26" s="40">
        <v>1</v>
      </c>
      <c r="E26" s="40"/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405"/>
      <c r="O26" s="405"/>
      <c r="P26" s="405"/>
      <c r="Q26" s="405"/>
      <c r="R26" s="406"/>
      <c r="S26" s="443"/>
      <c r="T26" s="362"/>
      <c r="U26" s="363"/>
      <c r="V26" s="446"/>
      <c r="W26" s="209"/>
      <c r="Z26" s="34">
        <v>118349</v>
      </c>
    </row>
    <row r="27" spans="1:27" s="6" customFormat="1" ht="51.95" customHeight="1">
      <c r="A27" s="84">
        <v>20</v>
      </c>
      <c r="B27" s="27" t="s">
        <v>45</v>
      </c>
      <c r="C27" s="40">
        <v>2</v>
      </c>
      <c r="D27" s="40"/>
      <c r="E27" s="40">
        <v>2</v>
      </c>
      <c r="F27" s="40">
        <v>20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04"/>
      <c r="N27" s="405"/>
      <c r="O27" s="405"/>
      <c r="P27" s="405"/>
      <c r="Q27" s="405"/>
      <c r="R27" s="406"/>
      <c r="S27" s="443"/>
      <c r="T27" s="362"/>
      <c r="U27" s="363"/>
      <c r="V27" s="446"/>
      <c r="W27" s="209"/>
      <c r="Z27" s="34"/>
    </row>
    <row r="28" spans="1:27" s="6" customFormat="1" ht="51.95" customHeight="1">
      <c r="A28" s="84">
        <v>21</v>
      </c>
      <c r="B28" s="27" t="s">
        <v>58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53"/>
      <c r="M28" s="407"/>
      <c r="N28" s="408"/>
      <c r="O28" s="408"/>
      <c r="P28" s="408"/>
      <c r="Q28" s="408"/>
      <c r="R28" s="409"/>
      <c r="S28" s="444"/>
      <c r="T28" s="364"/>
      <c r="U28" s="365"/>
      <c r="V28" s="447"/>
      <c r="W28" s="209"/>
      <c r="Z28" s="34"/>
    </row>
    <row r="29" spans="1:27" ht="51.95" customHeight="1">
      <c r="A29" s="84">
        <v>22</v>
      </c>
      <c r="B29" s="27" t="s">
        <v>101</v>
      </c>
      <c r="C29" s="40">
        <v>1</v>
      </c>
      <c r="D29" s="40">
        <v>1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68" t="s">
        <v>104</v>
      </c>
      <c r="M29" s="169"/>
      <c r="N29" s="169"/>
      <c r="O29" s="169"/>
      <c r="P29" s="169"/>
      <c r="Q29" s="169"/>
      <c r="R29" s="169"/>
      <c r="S29" s="169"/>
      <c r="T29" s="169"/>
      <c r="U29" s="169"/>
      <c r="V29" s="170"/>
      <c r="W29" s="32"/>
      <c r="Z29" s="1"/>
    </row>
    <row r="30" spans="1:27" ht="51.95" customHeight="1">
      <c r="A30" s="84">
        <v>23</v>
      </c>
      <c r="B30" s="27" t="s">
        <v>44</v>
      </c>
      <c r="C30" s="40">
        <v>2</v>
      </c>
      <c r="D30" s="40">
        <v>2</v>
      </c>
      <c r="E30" s="40"/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40">
        <v>1</v>
      </c>
      <c r="M30" s="171" t="s">
        <v>211</v>
      </c>
      <c r="N30" s="172"/>
      <c r="O30" s="172"/>
      <c r="P30" s="172"/>
      <c r="Q30" s="172"/>
      <c r="R30" s="173"/>
      <c r="S30" s="49"/>
      <c r="T30" s="50"/>
      <c r="U30" s="51"/>
      <c r="V30" s="54"/>
      <c r="W30" s="178"/>
      <c r="Z30" s="1"/>
    </row>
    <row r="31" spans="1:27" ht="51.95" customHeight="1">
      <c r="A31" s="84">
        <v>24</v>
      </c>
      <c r="B31" s="27" t="s">
        <v>103</v>
      </c>
      <c r="C31" s="40">
        <v>1</v>
      </c>
      <c r="D31" s="40"/>
      <c r="E31" s="40">
        <v>1</v>
      </c>
      <c r="F31" s="40">
        <v>24</v>
      </c>
      <c r="G31" s="27" t="s">
        <v>97</v>
      </c>
      <c r="H31" s="40">
        <v>2</v>
      </c>
      <c r="I31" s="40"/>
      <c r="J31" s="40"/>
      <c r="K31" s="40"/>
      <c r="L31" s="152">
        <v>2</v>
      </c>
      <c r="M31" s="180"/>
      <c r="N31" s="181"/>
      <c r="O31" s="181"/>
      <c r="P31" s="181"/>
      <c r="Q31" s="181"/>
      <c r="R31" s="182"/>
      <c r="S31" s="160"/>
      <c r="T31" s="162"/>
      <c r="U31" s="163"/>
      <c r="V31" s="166"/>
      <c r="W31" s="179"/>
      <c r="Z31" s="1"/>
    </row>
    <row r="32" spans="1:27" ht="51.95" customHeight="1">
      <c r="A32" s="84">
        <v>25</v>
      </c>
      <c r="B32" s="27" t="s">
        <v>60</v>
      </c>
      <c r="C32" s="40">
        <v>3</v>
      </c>
      <c r="D32" s="40">
        <v>1</v>
      </c>
      <c r="E32" s="40">
        <v>2</v>
      </c>
      <c r="F32" s="40"/>
      <c r="G32" s="86" t="s">
        <v>212</v>
      </c>
      <c r="H32" s="40">
        <v>1</v>
      </c>
      <c r="I32" s="40">
        <v>1</v>
      </c>
      <c r="J32" s="40"/>
      <c r="K32" s="40"/>
      <c r="L32" s="153"/>
      <c r="M32" s="183"/>
      <c r="N32" s="184"/>
      <c r="O32" s="184"/>
      <c r="P32" s="184"/>
      <c r="Q32" s="184"/>
      <c r="R32" s="185"/>
      <c r="S32" s="161"/>
      <c r="T32" s="164"/>
      <c r="U32" s="165"/>
      <c r="V32" s="167"/>
      <c r="W32" s="179"/>
      <c r="Z32" s="1"/>
    </row>
    <row r="33" spans="1:27" ht="51.95" customHeight="1">
      <c r="A33" s="84">
        <v>26</v>
      </c>
      <c r="B33" s="27" t="s">
        <v>65</v>
      </c>
      <c r="C33" s="40">
        <v>3</v>
      </c>
      <c r="D33" s="40">
        <v>1</v>
      </c>
      <c r="E33" s="40">
        <v>2</v>
      </c>
      <c r="F33" s="40"/>
      <c r="G33" s="27"/>
      <c r="H33" s="40"/>
      <c r="I33" s="40"/>
      <c r="J33" s="40"/>
      <c r="K33" s="40"/>
      <c r="L33" s="186">
        <v>3</v>
      </c>
      <c r="M33" s="180"/>
      <c r="N33" s="181"/>
      <c r="O33" s="181"/>
      <c r="P33" s="181"/>
      <c r="Q33" s="181"/>
      <c r="R33" s="182"/>
      <c r="S33" s="160"/>
      <c r="T33" s="162"/>
      <c r="U33" s="163"/>
      <c r="V33" s="166"/>
      <c r="W33" s="179"/>
      <c r="Z33" s="1"/>
    </row>
    <row r="34" spans="1:27" ht="51.95" customHeight="1">
      <c r="A34" s="84">
        <v>27</v>
      </c>
      <c r="B34" s="27" t="s">
        <v>62</v>
      </c>
      <c r="C34" s="40">
        <v>9</v>
      </c>
      <c r="D34" s="40">
        <v>6</v>
      </c>
      <c r="E34" s="40">
        <v>3</v>
      </c>
      <c r="F34" s="40"/>
      <c r="G34" s="27"/>
      <c r="H34" s="40"/>
      <c r="I34" s="40"/>
      <c r="J34" s="40"/>
      <c r="K34" s="40"/>
      <c r="L34" s="186"/>
      <c r="M34" s="183"/>
      <c r="N34" s="184"/>
      <c r="O34" s="184"/>
      <c r="P34" s="184"/>
      <c r="Q34" s="184"/>
      <c r="R34" s="185"/>
      <c r="S34" s="161"/>
      <c r="T34" s="164"/>
      <c r="U34" s="165"/>
      <c r="V34" s="167"/>
      <c r="W34" s="179"/>
      <c r="Z34" s="1"/>
    </row>
    <row r="35" spans="1:27" ht="51.95" customHeight="1">
      <c r="A35" s="84">
        <v>28</v>
      </c>
      <c r="B35" s="27" t="s">
        <v>36</v>
      </c>
      <c r="C35" s="40">
        <v>1</v>
      </c>
      <c r="D35" s="40">
        <v>1</v>
      </c>
      <c r="E35" s="40"/>
      <c r="F35" s="40"/>
      <c r="G35" s="27"/>
      <c r="H35" s="40"/>
      <c r="I35" s="40"/>
      <c r="J35" s="40"/>
      <c r="K35" s="40"/>
      <c r="L35" s="152">
        <v>4</v>
      </c>
      <c r="M35" s="384"/>
      <c r="N35" s="385"/>
      <c r="O35" s="385"/>
      <c r="P35" s="385"/>
      <c r="Q35" s="385"/>
      <c r="R35" s="386"/>
      <c r="S35" s="160"/>
      <c r="T35" s="162"/>
      <c r="U35" s="163"/>
      <c r="V35" s="166"/>
      <c r="W35" s="16"/>
      <c r="Z35" s="1"/>
    </row>
    <row r="36" spans="1:27" ht="51.95" customHeight="1">
      <c r="A36" s="84">
        <v>29</v>
      </c>
      <c r="B36" s="27" t="s">
        <v>93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3"/>
      <c r="M36" s="387"/>
      <c r="N36" s="388"/>
      <c r="O36" s="388"/>
      <c r="P36" s="388"/>
      <c r="Q36" s="388"/>
      <c r="R36" s="389"/>
      <c r="S36" s="161"/>
      <c r="T36" s="164"/>
      <c r="U36" s="165"/>
      <c r="V36" s="167"/>
      <c r="W36" s="16"/>
      <c r="Z36" s="1"/>
    </row>
    <row r="37" spans="1:27" ht="51.95" customHeight="1">
      <c r="A37" s="84">
        <v>30</v>
      </c>
      <c r="B37" s="27" t="s">
        <v>46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84">
        <v>31</v>
      </c>
      <c r="B38" s="70" t="s">
        <v>118</v>
      </c>
      <c r="C38" s="64">
        <v>4</v>
      </c>
      <c r="D38" s="64">
        <v>2</v>
      </c>
      <c r="E38" s="64">
        <v>2</v>
      </c>
      <c r="F38" s="64"/>
      <c r="G38" s="70"/>
      <c r="H38" s="64"/>
      <c r="I38" s="64"/>
      <c r="J38" s="64"/>
      <c r="K38" s="64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84</v>
      </c>
      <c r="D39" s="61">
        <f>SUM(D7:D38)</f>
        <v>61</v>
      </c>
      <c r="E39" s="61">
        <f>SUM(E7:E38)</f>
        <v>23</v>
      </c>
      <c r="F39" s="151" t="s">
        <v>9</v>
      </c>
      <c r="G39" s="151"/>
      <c r="H39" s="64">
        <f>SUM(H7:H37)</f>
        <v>75</v>
      </c>
      <c r="I39" s="64">
        <f>SUM(I7:I37)</f>
        <v>52</v>
      </c>
      <c r="J39" s="64">
        <f>SUM(J7:J37)</f>
        <v>18</v>
      </c>
      <c r="K39" s="64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16.25" customHeight="1">
      <c r="A42" s="85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0</v>
      </c>
      <c r="I42" s="136"/>
      <c r="J42" s="135"/>
      <c r="K42" s="134">
        <v>99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80">
        <f>K42+H42</f>
        <v>99</v>
      </c>
      <c r="Y42" s="8"/>
    </row>
    <row r="43" spans="1:27" ht="108" customHeight="1">
      <c r="A43" s="85">
        <v>2</v>
      </c>
      <c r="B43" s="74" t="s">
        <v>136</v>
      </c>
      <c r="C43" s="117"/>
      <c r="D43" s="118"/>
      <c r="E43" s="109">
        <f>2527+29</f>
        <v>2556</v>
      </c>
      <c r="F43" s="111"/>
      <c r="G43" s="110"/>
      <c r="H43" s="134">
        <v>0</v>
      </c>
      <c r="I43" s="136"/>
      <c r="J43" s="135"/>
      <c r="K43" s="134">
        <v>683</v>
      </c>
      <c r="L43" s="136"/>
      <c r="M43" s="136"/>
      <c r="N43" s="135"/>
      <c r="O43" s="129"/>
      <c r="P43" s="130"/>
      <c r="Q43" s="130"/>
      <c r="R43" s="131"/>
      <c r="S43" s="56"/>
      <c r="T43" s="56"/>
      <c r="U43" s="57"/>
      <c r="V43" s="58"/>
      <c r="W43" s="80">
        <f t="shared" ref="W43:W50" si="2">K43+H43</f>
        <v>683</v>
      </c>
      <c r="X43" s="2"/>
      <c r="Y43" s="7"/>
      <c r="Z43" s="7"/>
      <c r="AA43" s="9"/>
    </row>
    <row r="44" spans="1:27" ht="90.75" customHeight="1">
      <c r="A44" s="85">
        <v>3</v>
      </c>
      <c r="B44" s="74" t="s">
        <v>80</v>
      </c>
      <c r="C44" s="122"/>
      <c r="D44" s="123"/>
      <c r="E44" s="109">
        <v>140000</v>
      </c>
      <c r="F44" s="111"/>
      <c r="G44" s="110"/>
      <c r="H44" s="109">
        <v>0</v>
      </c>
      <c r="I44" s="111"/>
      <c r="J44" s="110"/>
      <c r="K44" s="109">
        <v>127546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127546</v>
      </c>
      <c r="X44" s="2"/>
      <c r="Y44" s="7"/>
      <c r="Z44" s="7"/>
      <c r="AA44" s="9"/>
    </row>
    <row r="45" spans="1:27" ht="65.099999999999994" customHeight="1">
      <c r="A45" s="85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>
        <v>0</v>
      </c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85">
        <v>5</v>
      </c>
      <c r="B46" s="74" t="s">
        <v>114</v>
      </c>
      <c r="C46" s="122">
        <v>0</v>
      </c>
      <c r="D46" s="123"/>
      <c r="E46" s="109">
        <v>1228</v>
      </c>
      <c r="F46" s="111"/>
      <c r="G46" s="110"/>
      <c r="H46" s="109">
        <v>0</v>
      </c>
      <c r="I46" s="111"/>
      <c r="J46" s="110"/>
      <c r="K46" s="109">
        <v>1228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1228</v>
      </c>
      <c r="X46" s="2"/>
      <c r="Y46" s="7"/>
      <c r="Z46" s="7"/>
      <c r="AA46" s="9"/>
    </row>
    <row r="47" spans="1:27" ht="65.099999999999994" customHeight="1">
      <c r="A47" s="85">
        <v>6</v>
      </c>
      <c r="B47" s="74" t="s">
        <v>115</v>
      </c>
      <c r="C47" s="122">
        <v>35</v>
      </c>
      <c r="D47" s="123"/>
      <c r="E47" s="109">
        <v>7472</v>
      </c>
      <c r="F47" s="111"/>
      <c r="G47" s="110"/>
      <c r="H47" s="109">
        <v>35</v>
      </c>
      <c r="I47" s="111"/>
      <c r="J47" s="110"/>
      <c r="K47" s="109">
        <v>7472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7507</v>
      </c>
      <c r="X47" s="2"/>
      <c r="Y47" s="7"/>
      <c r="Z47" s="7"/>
      <c r="AA47" s="9"/>
    </row>
    <row r="48" spans="1:27" ht="65.099999999999994" customHeight="1">
      <c r="A48" s="85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85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85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65.2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63.7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 t="s">
        <v>67</v>
      </c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8.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452"/>
      <c r="P57" s="452"/>
      <c r="Q57" s="452"/>
      <c r="R57" s="452"/>
      <c r="S57" s="452"/>
      <c r="T57" s="452"/>
      <c r="U57" s="452"/>
      <c r="V57" s="453"/>
    </row>
    <row r="58" spans="1:27" ht="86.2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454"/>
      <c r="P58" s="454"/>
      <c r="Q58" s="454"/>
      <c r="R58" s="454"/>
      <c r="S58" s="454"/>
      <c r="T58" s="454"/>
      <c r="U58" s="454"/>
      <c r="V58" s="455"/>
    </row>
    <row r="61" spans="1:27">
      <c r="S61" s="28"/>
      <c r="T61" s="28"/>
      <c r="U61" s="28"/>
    </row>
    <row r="62" spans="1:27">
      <c r="G62" s="12" t="s">
        <v>58</v>
      </c>
      <c r="H62" s="24">
        <v>1</v>
      </c>
      <c r="I62" s="24"/>
      <c r="J62" s="24">
        <v>1</v>
      </c>
      <c r="S62" s="28"/>
      <c r="T62" s="28">
        <v>17</v>
      </c>
      <c r="U62" s="29"/>
    </row>
    <row r="63" spans="1:27">
      <c r="G63" s="12" t="s">
        <v>103</v>
      </c>
      <c r="H63" s="24">
        <v>1</v>
      </c>
      <c r="I63" s="24">
        <v>1</v>
      </c>
      <c r="J63" s="24"/>
      <c r="S63" s="28"/>
      <c r="T63" s="28">
        <v>17</v>
      </c>
      <c r="U63" s="30"/>
    </row>
    <row r="64" spans="1:27">
      <c r="G64" s="12" t="s">
        <v>44</v>
      </c>
      <c r="H64" s="24">
        <v>2</v>
      </c>
      <c r="I64" s="24">
        <v>2</v>
      </c>
      <c r="J64" s="24"/>
      <c r="S64" s="28"/>
      <c r="T64" s="28">
        <v>17</v>
      </c>
      <c r="U64" s="28"/>
    </row>
    <row r="65" spans="1:31">
      <c r="G65" s="12" t="s">
        <v>8</v>
      </c>
      <c r="H65" s="24">
        <v>8</v>
      </c>
      <c r="I65" s="24">
        <v>8</v>
      </c>
      <c r="J65" s="24"/>
      <c r="T65" s="3">
        <v>17</v>
      </c>
    </row>
    <row r="66" spans="1:31">
      <c r="G66" s="12" t="s">
        <v>101</v>
      </c>
      <c r="H66" s="24">
        <v>1</v>
      </c>
      <c r="I66" s="24">
        <v>1</v>
      </c>
      <c r="J66" s="24"/>
      <c r="T66" s="3">
        <v>19</v>
      </c>
    </row>
    <row r="67" spans="1:31">
      <c r="G67" s="12" t="s">
        <v>63</v>
      </c>
      <c r="H67" s="24">
        <v>8</v>
      </c>
      <c r="I67" s="24">
        <v>7</v>
      </c>
      <c r="J67" s="24">
        <v>1</v>
      </c>
      <c r="T67" s="3">
        <v>20</v>
      </c>
    </row>
    <row r="68" spans="1:31">
      <c r="G68" s="12" t="s">
        <v>17</v>
      </c>
      <c r="H68" s="24">
        <v>7</v>
      </c>
      <c r="I68" s="24">
        <v>6</v>
      </c>
      <c r="J68" s="24">
        <v>1</v>
      </c>
      <c r="T68" s="3">
        <v>21</v>
      </c>
    </row>
    <row r="69" spans="1:31">
      <c r="G69" s="12" t="s">
        <v>65</v>
      </c>
      <c r="H69" s="24">
        <v>2</v>
      </c>
      <c r="I69" s="24">
        <v>2</v>
      </c>
      <c r="J69" s="24"/>
      <c r="T69" s="3">
        <v>18</v>
      </c>
    </row>
    <row r="70" spans="1:31">
      <c r="G70" s="12" t="s">
        <v>62</v>
      </c>
      <c r="H70" s="24">
        <v>7</v>
      </c>
      <c r="I70" s="24">
        <v>6</v>
      </c>
      <c r="J70" s="24">
        <v>1</v>
      </c>
      <c r="T70" s="3">
        <v>18.600000000000001</v>
      </c>
    </row>
    <row r="71" spans="1:31" s="3" customFormat="1">
      <c r="A71"/>
      <c r="B71" s="15"/>
      <c r="G71" s="12" t="s">
        <v>36</v>
      </c>
      <c r="H71" s="24">
        <f>J72+I71</f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43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45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93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46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60</v>
      </c>
      <c r="H76" s="24">
        <v>4</v>
      </c>
      <c r="I76" s="24">
        <v>4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48</v>
      </c>
      <c r="H77" s="24">
        <v>1</v>
      </c>
      <c r="I77" s="24"/>
      <c r="J77" s="24">
        <v>1</v>
      </c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95</v>
      </c>
      <c r="H78" s="24">
        <v>6</v>
      </c>
      <c r="I78" s="24">
        <v>6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2">
    <mergeCell ref="A51:V51"/>
    <mergeCell ref="A52:V52"/>
    <mergeCell ref="A53:N53"/>
    <mergeCell ref="O53:V53"/>
    <mergeCell ref="A54:N58"/>
    <mergeCell ref="O54:V58"/>
    <mergeCell ref="C49:D49"/>
    <mergeCell ref="E49:G49"/>
    <mergeCell ref="H49:J49"/>
    <mergeCell ref="K49:N49"/>
    <mergeCell ref="O49:V49"/>
    <mergeCell ref="C50:D50"/>
    <mergeCell ref="E50:G50"/>
    <mergeCell ref="H50:J50"/>
    <mergeCell ref="K50:N50"/>
    <mergeCell ref="O50:V50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1:D41"/>
    <mergeCell ref="E41:G41"/>
    <mergeCell ref="H41:J41"/>
    <mergeCell ref="K41:N41"/>
    <mergeCell ref="O41:R41"/>
    <mergeCell ref="C42:D42"/>
    <mergeCell ref="E42:G42"/>
    <mergeCell ref="H42:J42"/>
    <mergeCell ref="K42:N42"/>
    <mergeCell ref="O42:R42"/>
    <mergeCell ref="M38:R38"/>
    <mergeCell ref="A39:B39"/>
    <mergeCell ref="F39:G39"/>
    <mergeCell ref="M39:R39"/>
    <mergeCell ref="A40:N40"/>
    <mergeCell ref="O40:V40"/>
    <mergeCell ref="L35:L36"/>
    <mergeCell ref="M35:R36"/>
    <mergeCell ref="S35:S36"/>
    <mergeCell ref="T35:U36"/>
    <mergeCell ref="V35:V36"/>
    <mergeCell ref="M37:R37"/>
    <mergeCell ref="V31:V32"/>
    <mergeCell ref="L33:L34"/>
    <mergeCell ref="M33:R34"/>
    <mergeCell ref="S33:S34"/>
    <mergeCell ref="T33:U34"/>
    <mergeCell ref="V33:V34"/>
    <mergeCell ref="T24:U28"/>
    <mergeCell ref="V24:V28"/>
    <mergeCell ref="W24:W28"/>
    <mergeCell ref="L29:V29"/>
    <mergeCell ref="M30:R30"/>
    <mergeCell ref="W30:W34"/>
    <mergeCell ref="L31:L32"/>
    <mergeCell ref="M31:R32"/>
    <mergeCell ref="S31:S32"/>
    <mergeCell ref="T31:U32"/>
    <mergeCell ref="W18:W19"/>
    <mergeCell ref="L20:L22"/>
    <mergeCell ref="M20:R23"/>
    <mergeCell ref="S20:S23"/>
    <mergeCell ref="T20:U23"/>
    <mergeCell ref="V20:V23"/>
    <mergeCell ref="W20:W23"/>
    <mergeCell ref="L23:L28"/>
    <mergeCell ref="M24:R28"/>
    <mergeCell ref="S24:S28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9113-8950-4C44-B140-90BCA3DC9272}">
  <sheetPr>
    <pageSetUpPr fitToPage="1"/>
  </sheetPr>
  <dimension ref="A1:AH111"/>
  <sheetViews>
    <sheetView rightToLeft="1" view="pageBreakPreview" topLeftCell="A13" zoomScale="40" zoomScaleNormal="110" zoomScaleSheetLayoutView="40" workbookViewId="0">
      <selection activeCell="T9" sqref="T9:U10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169</v>
      </c>
      <c r="S1" s="297"/>
      <c r="T1" s="300" t="s">
        <v>213</v>
      </c>
      <c r="U1" s="300"/>
      <c r="V1" s="420" t="s">
        <v>214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421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421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215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/>
      <c r="J9" s="40">
        <v>1</v>
      </c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/>
      <c r="J10" s="40">
        <v>1</v>
      </c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7</v>
      </c>
      <c r="I11" s="81"/>
      <c r="J11" s="40">
        <v>7</v>
      </c>
      <c r="K11" s="40"/>
      <c r="L11" s="186">
        <v>2</v>
      </c>
      <c r="M11" s="390" t="s">
        <v>207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220865</v>
      </c>
      <c r="W11" s="236">
        <f>V11+T11</f>
        <v>220865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/>
      <c r="J12" s="40">
        <v>1</v>
      </c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2</v>
      </c>
      <c r="J14" s="40"/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40">
        <v>2</v>
      </c>
      <c r="I15" s="40">
        <v>2</v>
      </c>
      <c r="J15" s="40"/>
      <c r="K15" s="40"/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3</v>
      </c>
      <c r="I16" s="152"/>
      <c r="J16" s="152">
        <v>3</v>
      </c>
      <c r="K16" s="152"/>
      <c r="L16" s="152">
        <v>4</v>
      </c>
      <c r="M16" s="431" t="s">
        <v>208</v>
      </c>
      <c r="N16" s="432"/>
      <c r="O16" s="432"/>
      <c r="P16" s="432"/>
      <c r="Q16" s="432"/>
      <c r="R16" s="433"/>
      <c r="S16" s="434" t="s">
        <v>85</v>
      </c>
      <c r="T16" s="367">
        <v>0</v>
      </c>
      <c r="U16" s="368"/>
      <c r="V16" s="445">
        <v>47026</v>
      </c>
      <c r="W16" s="47">
        <f>V16+T16</f>
        <v>47026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35"/>
      <c r="T17" s="371"/>
      <c r="U17" s="372"/>
      <c r="V17" s="447"/>
      <c r="W17" s="47"/>
    </row>
    <row r="18" spans="1:27" ht="51.95" customHeight="1">
      <c r="A18" s="84">
        <v>11</v>
      </c>
      <c r="B18" s="27" t="s">
        <v>21</v>
      </c>
      <c r="C18" s="40">
        <v>2</v>
      </c>
      <c r="D18" s="40">
        <v>1</v>
      </c>
      <c r="E18" s="40">
        <v>1</v>
      </c>
      <c r="F18" s="40">
        <v>11</v>
      </c>
      <c r="G18" s="27" t="s">
        <v>102</v>
      </c>
      <c r="H18" s="40">
        <v>2</v>
      </c>
      <c r="I18" s="40"/>
      <c r="J18" s="40">
        <v>1</v>
      </c>
      <c r="K18" s="40"/>
      <c r="L18" s="186">
        <v>5</v>
      </c>
      <c r="M18" s="422" t="s">
        <v>209</v>
      </c>
      <c r="N18" s="423"/>
      <c r="O18" s="423"/>
      <c r="P18" s="423"/>
      <c r="Q18" s="423"/>
      <c r="R18" s="424"/>
      <c r="S18" s="160" t="s">
        <v>85</v>
      </c>
      <c r="T18" s="367">
        <v>0</v>
      </c>
      <c r="U18" s="368"/>
      <c r="V18" s="445">
        <v>102146</v>
      </c>
      <c r="W18" s="178">
        <f>V18+T18</f>
        <v>102146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2</v>
      </c>
      <c r="J19" s="40">
        <v>3</v>
      </c>
      <c r="K19" s="40"/>
      <c r="L19" s="186"/>
      <c r="M19" s="425"/>
      <c r="N19" s="426"/>
      <c r="O19" s="426"/>
      <c r="P19" s="426"/>
      <c r="Q19" s="426"/>
      <c r="R19" s="427"/>
      <c r="S19" s="161"/>
      <c r="T19" s="371"/>
      <c r="U19" s="372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203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40859</v>
      </c>
      <c r="W20" s="178">
        <f>V20+T20</f>
        <v>40859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27" t="s">
        <v>8</v>
      </c>
      <c r="C23" s="59">
        <v>12</v>
      </c>
      <c r="D23" s="40">
        <v>10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52">
        <v>7</v>
      </c>
      <c r="M23" s="215"/>
      <c r="N23" s="216"/>
      <c r="O23" s="216"/>
      <c r="P23" s="216"/>
      <c r="Q23" s="216"/>
      <c r="R23" s="217"/>
      <c r="S23" s="444"/>
      <c r="T23" s="371"/>
      <c r="U23" s="372"/>
      <c r="V23" s="447"/>
      <c r="W23" s="178"/>
      <c r="Z23" s="1"/>
    </row>
    <row r="24" spans="1:27" ht="51.95" customHeight="1">
      <c r="A24" s="84">
        <v>17</v>
      </c>
      <c r="B24" s="27" t="s">
        <v>63</v>
      </c>
      <c r="C24" s="59">
        <v>14</v>
      </c>
      <c r="D24" s="40">
        <v>12</v>
      </c>
      <c r="E24" s="40">
        <v>2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01" t="s">
        <v>210</v>
      </c>
      <c r="N24" s="402"/>
      <c r="O24" s="402"/>
      <c r="P24" s="402"/>
      <c r="Q24" s="402"/>
      <c r="R24" s="403"/>
      <c r="S24" s="442" t="s">
        <v>85</v>
      </c>
      <c r="T24" s="360">
        <v>0</v>
      </c>
      <c r="U24" s="361"/>
      <c r="V24" s="445">
        <v>32112</v>
      </c>
      <c r="W24" s="209">
        <f>V24+T24</f>
        <v>32112</v>
      </c>
      <c r="Z24" s="1"/>
    </row>
    <row r="25" spans="1:27" ht="51.95" customHeight="1">
      <c r="A25" s="84">
        <v>18</v>
      </c>
      <c r="B25" s="27" t="s">
        <v>17</v>
      </c>
      <c r="C25" s="40">
        <v>7</v>
      </c>
      <c r="D25" s="40">
        <v>5</v>
      </c>
      <c r="E25" s="40">
        <v>2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87"/>
      <c r="M25" s="404"/>
      <c r="N25" s="405"/>
      <c r="O25" s="405"/>
      <c r="P25" s="405"/>
      <c r="Q25" s="405"/>
      <c r="R25" s="406"/>
      <c r="S25" s="443"/>
      <c r="T25" s="362"/>
      <c r="U25" s="363"/>
      <c r="V25" s="446"/>
      <c r="W25" s="209"/>
      <c r="Z25" s="1">
        <v>35734</v>
      </c>
      <c r="AA25">
        <f>Z25/Z26</f>
        <v>0.30193748996611719</v>
      </c>
    </row>
    <row r="26" spans="1:27" s="6" customFormat="1" ht="51.95" customHeight="1">
      <c r="A26" s="84">
        <v>19</v>
      </c>
      <c r="B26" s="27" t="s">
        <v>43</v>
      </c>
      <c r="C26" s="40">
        <v>1</v>
      </c>
      <c r="D26" s="40">
        <v>1</v>
      </c>
      <c r="E26" s="40"/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405"/>
      <c r="O26" s="405"/>
      <c r="P26" s="405"/>
      <c r="Q26" s="405"/>
      <c r="R26" s="406"/>
      <c r="S26" s="443"/>
      <c r="T26" s="362"/>
      <c r="U26" s="363"/>
      <c r="V26" s="446"/>
      <c r="W26" s="209"/>
      <c r="Z26" s="34">
        <v>118349</v>
      </c>
    </row>
    <row r="27" spans="1:27" s="6" customFormat="1" ht="51.95" customHeight="1">
      <c r="A27" s="84">
        <v>20</v>
      </c>
      <c r="B27" s="27" t="s">
        <v>45</v>
      </c>
      <c r="C27" s="40">
        <v>2</v>
      </c>
      <c r="D27" s="40"/>
      <c r="E27" s="40">
        <v>2</v>
      </c>
      <c r="F27" s="40">
        <v>20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04"/>
      <c r="N27" s="405"/>
      <c r="O27" s="405"/>
      <c r="P27" s="405"/>
      <c r="Q27" s="405"/>
      <c r="R27" s="406"/>
      <c r="S27" s="443"/>
      <c r="T27" s="362"/>
      <c r="U27" s="363"/>
      <c r="V27" s="446"/>
      <c r="W27" s="209"/>
      <c r="Z27" s="34"/>
    </row>
    <row r="28" spans="1:27" s="6" customFormat="1" ht="51.95" customHeight="1">
      <c r="A28" s="84">
        <v>21</v>
      </c>
      <c r="B28" s="27" t="s">
        <v>58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53"/>
      <c r="M28" s="407"/>
      <c r="N28" s="408"/>
      <c r="O28" s="408"/>
      <c r="P28" s="408"/>
      <c r="Q28" s="408"/>
      <c r="R28" s="409"/>
      <c r="S28" s="444"/>
      <c r="T28" s="364"/>
      <c r="U28" s="365"/>
      <c r="V28" s="447"/>
      <c r="W28" s="209"/>
      <c r="Z28" s="34"/>
    </row>
    <row r="29" spans="1:27" ht="51.95" customHeight="1">
      <c r="A29" s="84">
        <v>22</v>
      </c>
      <c r="B29" s="27" t="s">
        <v>101</v>
      </c>
      <c r="C29" s="40">
        <v>1</v>
      </c>
      <c r="D29" s="40">
        <v>1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68" t="s">
        <v>104</v>
      </c>
      <c r="M29" s="169"/>
      <c r="N29" s="169"/>
      <c r="O29" s="169"/>
      <c r="P29" s="169"/>
      <c r="Q29" s="169"/>
      <c r="R29" s="169"/>
      <c r="S29" s="169"/>
      <c r="T29" s="169"/>
      <c r="U29" s="169"/>
      <c r="V29" s="170"/>
      <c r="W29" s="32"/>
      <c r="Z29" s="1"/>
    </row>
    <row r="30" spans="1:27" ht="51.95" customHeight="1">
      <c r="A30" s="84">
        <v>23</v>
      </c>
      <c r="B30" s="27" t="s">
        <v>44</v>
      </c>
      <c r="C30" s="40">
        <v>2</v>
      </c>
      <c r="D30" s="40">
        <v>2</v>
      </c>
      <c r="E30" s="40"/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40">
        <v>1</v>
      </c>
      <c r="M30" s="171" t="s">
        <v>211</v>
      </c>
      <c r="N30" s="172"/>
      <c r="O30" s="172"/>
      <c r="P30" s="172"/>
      <c r="Q30" s="172"/>
      <c r="R30" s="173"/>
      <c r="S30" s="49"/>
      <c r="T30" s="50"/>
      <c r="U30" s="51"/>
      <c r="V30" s="54"/>
      <c r="W30" s="178"/>
      <c r="Z30" s="1"/>
    </row>
    <row r="31" spans="1:27" ht="51.95" customHeight="1">
      <c r="A31" s="84">
        <v>24</v>
      </c>
      <c r="B31" s="27" t="s">
        <v>103</v>
      </c>
      <c r="C31" s="40">
        <v>1</v>
      </c>
      <c r="D31" s="40"/>
      <c r="E31" s="40">
        <v>1</v>
      </c>
      <c r="F31" s="40">
        <v>24</v>
      </c>
      <c r="G31" s="27" t="s">
        <v>97</v>
      </c>
      <c r="H31" s="40">
        <v>2</v>
      </c>
      <c r="I31" s="40"/>
      <c r="J31" s="40"/>
      <c r="K31" s="40"/>
      <c r="L31" s="152">
        <v>2</v>
      </c>
      <c r="M31" s="180"/>
      <c r="N31" s="181"/>
      <c r="O31" s="181"/>
      <c r="P31" s="181"/>
      <c r="Q31" s="181"/>
      <c r="R31" s="182"/>
      <c r="S31" s="160"/>
      <c r="T31" s="162"/>
      <c r="U31" s="163"/>
      <c r="V31" s="166"/>
      <c r="W31" s="179"/>
      <c r="Z31" s="1"/>
    </row>
    <row r="32" spans="1:27" ht="51.95" customHeight="1">
      <c r="A32" s="84">
        <v>25</v>
      </c>
      <c r="B32" s="27" t="s">
        <v>60</v>
      </c>
      <c r="C32" s="40">
        <v>3</v>
      </c>
      <c r="D32" s="40">
        <v>1</v>
      </c>
      <c r="E32" s="40">
        <v>2</v>
      </c>
      <c r="F32" s="40"/>
      <c r="G32" s="86" t="s">
        <v>212</v>
      </c>
      <c r="H32" s="40">
        <v>1</v>
      </c>
      <c r="I32" s="40">
        <v>1</v>
      </c>
      <c r="J32" s="40"/>
      <c r="K32" s="40"/>
      <c r="L32" s="153"/>
      <c r="M32" s="183"/>
      <c r="N32" s="184"/>
      <c r="O32" s="184"/>
      <c r="P32" s="184"/>
      <c r="Q32" s="184"/>
      <c r="R32" s="185"/>
      <c r="S32" s="161"/>
      <c r="T32" s="164"/>
      <c r="U32" s="165"/>
      <c r="V32" s="167"/>
      <c r="W32" s="179"/>
      <c r="Z32" s="1"/>
    </row>
    <row r="33" spans="1:27" ht="51.95" customHeight="1">
      <c r="A33" s="84">
        <v>26</v>
      </c>
      <c r="B33" s="27" t="s">
        <v>65</v>
      </c>
      <c r="C33" s="40">
        <v>3</v>
      </c>
      <c r="D33" s="40">
        <v>1</v>
      </c>
      <c r="E33" s="40">
        <v>2</v>
      </c>
      <c r="F33" s="40"/>
      <c r="G33" s="27"/>
      <c r="H33" s="40"/>
      <c r="I33" s="40"/>
      <c r="J33" s="40"/>
      <c r="K33" s="40"/>
      <c r="L33" s="186">
        <v>3</v>
      </c>
      <c r="M33" s="180"/>
      <c r="N33" s="181"/>
      <c r="O33" s="181"/>
      <c r="P33" s="181"/>
      <c r="Q33" s="181"/>
      <c r="R33" s="182"/>
      <c r="S33" s="160"/>
      <c r="T33" s="162"/>
      <c r="U33" s="163"/>
      <c r="V33" s="166"/>
      <c r="W33" s="179"/>
      <c r="Z33" s="1"/>
    </row>
    <row r="34" spans="1:27" ht="51.95" customHeight="1">
      <c r="A34" s="84">
        <v>27</v>
      </c>
      <c r="B34" s="27" t="s">
        <v>62</v>
      </c>
      <c r="C34" s="40">
        <v>9</v>
      </c>
      <c r="D34" s="40">
        <v>6</v>
      </c>
      <c r="E34" s="40">
        <v>3</v>
      </c>
      <c r="F34" s="40"/>
      <c r="G34" s="27"/>
      <c r="H34" s="40"/>
      <c r="I34" s="40"/>
      <c r="J34" s="40"/>
      <c r="K34" s="40"/>
      <c r="L34" s="186"/>
      <c r="M34" s="183"/>
      <c r="N34" s="184"/>
      <c r="O34" s="184"/>
      <c r="P34" s="184"/>
      <c r="Q34" s="184"/>
      <c r="R34" s="185"/>
      <c r="S34" s="161"/>
      <c r="T34" s="164"/>
      <c r="U34" s="165"/>
      <c r="V34" s="167"/>
      <c r="W34" s="179"/>
      <c r="Z34" s="1"/>
    </row>
    <row r="35" spans="1:27" ht="51.95" customHeight="1">
      <c r="A35" s="84">
        <v>28</v>
      </c>
      <c r="B35" s="27" t="s">
        <v>36</v>
      </c>
      <c r="C35" s="40">
        <v>1</v>
      </c>
      <c r="D35" s="40">
        <v>1</v>
      </c>
      <c r="E35" s="40"/>
      <c r="F35" s="40"/>
      <c r="G35" s="27"/>
      <c r="H35" s="40"/>
      <c r="I35" s="40"/>
      <c r="J35" s="40"/>
      <c r="K35" s="40"/>
      <c r="L35" s="152">
        <v>4</v>
      </c>
      <c r="M35" s="384"/>
      <c r="N35" s="385"/>
      <c r="O35" s="385"/>
      <c r="P35" s="385"/>
      <c r="Q35" s="385"/>
      <c r="R35" s="386"/>
      <c r="S35" s="160"/>
      <c r="T35" s="162"/>
      <c r="U35" s="163"/>
      <c r="V35" s="166"/>
      <c r="W35" s="16"/>
      <c r="Z35" s="1"/>
    </row>
    <row r="36" spans="1:27" ht="51.95" customHeight="1">
      <c r="A36" s="84">
        <v>29</v>
      </c>
      <c r="B36" s="27" t="s">
        <v>93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3"/>
      <c r="M36" s="387"/>
      <c r="N36" s="388"/>
      <c r="O36" s="388"/>
      <c r="P36" s="388"/>
      <c r="Q36" s="388"/>
      <c r="R36" s="389"/>
      <c r="S36" s="161"/>
      <c r="T36" s="164"/>
      <c r="U36" s="165"/>
      <c r="V36" s="167"/>
      <c r="W36" s="16"/>
      <c r="Z36" s="1"/>
    </row>
    <row r="37" spans="1:27" ht="51.95" customHeight="1">
      <c r="A37" s="84">
        <v>30</v>
      </c>
      <c r="B37" s="27" t="s">
        <v>46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51.95" customHeight="1">
      <c r="A38" s="84">
        <v>31</v>
      </c>
      <c r="B38" s="70" t="s">
        <v>118</v>
      </c>
      <c r="C38" s="64">
        <v>4</v>
      </c>
      <c r="D38" s="64">
        <v>2</v>
      </c>
      <c r="E38" s="64">
        <v>2</v>
      </c>
      <c r="F38" s="64"/>
      <c r="G38" s="70"/>
      <c r="H38" s="64"/>
      <c r="I38" s="64"/>
      <c r="J38" s="64"/>
      <c r="K38" s="64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84</v>
      </c>
      <c r="D39" s="61">
        <f>SUM(D7:D38)</f>
        <v>61</v>
      </c>
      <c r="E39" s="61">
        <f>SUM(E7:E38)</f>
        <v>23</v>
      </c>
      <c r="F39" s="151" t="s">
        <v>9</v>
      </c>
      <c r="G39" s="151"/>
      <c r="H39" s="64">
        <f>SUM(H7:H37)</f>
        <v>75</v>
      </c>
      <c r="I39" s="64">
        <f>SUM(I7:I37)</f>
        <v>52</v>
      </c>
      <c r="J39" s="64">
        <f>SUM(J7:J37)</f>
        <v>18</v>
      </c>
      <c r="K39" s="64">
        <f>SUM(K7:K37)</f>
        <v>2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36" customHeight="1">
      <c r="A40" s="174" t="s">
        <v>81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 t="s">
        <v>33</v>
      </c>
      <c r="P40" s="176"/>
      <c r="Q40" s="176"/>
      <c r="R40" s="176"/>
      <c r="S40" s="176"/>
      <c r="T40" s="176"/>
      <c r="U40" s="176"/>
      <c r="V40" s="177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16.25" customHeight="1">
      <c r="A42" s="85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0</v>
      </c>
      <c r="I42" s="136"/>
      <c r="J42" s="135"/>
      <c r="K42" s="134">
        <v>99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80">
        <f>K42+H42</f>
        <v>99</v>
      </c>
      <c r="Y42" s="8"/>
    </row>
    <row r="43" spans="1:27" ht="108" customHeight="1">
      <c r="A43" s="85">
        <v>2</v>
      </c>
      <c r="B43" s="74" t="s">
        <v>136</v>
      </c>
      <c r="C43" s="117"/>
      <c r="D43" s="118"/>
      <c r="E43" s="109">
        <f>2527+29</f>
        <v>2556</v>
      </c>
      <c r="F43" s="111"/>
      <c r="G43" s="110"/>
      <c r="H43" s="134">
        <v>0</v>
      </c>
      <c r="I43" s="136"/>
      <c r="J43" s="135"/>
      <c r="K43" s="134">
        <v>683</v>
      </c>
      <c r="L43" s="136"/>
      <c r="M43" s="136"/>
      <c r="N43" s="135"/>
      <c r="O43" s="129"/>
      <c r="P43" s="130"/>
      <c r="Q43" s="130"/>
      <c r="R43" s="131"/>
      <c r="S43" s="56"/>
      <c r="T43" s="56"/>
      <c r="U43" s="57"/>
      <c r="V43" s="58"/>
      <c r="W43" s="80">
        <f t="shared" ref="W43:W50" si="2">K43+H43</f>
        <v>683</v>
      </c>
      <c r="X43" s="2"/>
      <c r="Y43" s="7"/>
      <c r="Z43" s="7"/>
      <c r="AA43" s="9"/>
    </row>
    <row r="44" spans="1:27" ht="90.75" customHeight="1">
      <c r="A44" s="85">
        <v>3</v>
      </c>
      <c r="B44" s="74" t="s">
        <v>80</v>
      </c>
      <c r="C44" s="122"/>
      <c r="D44" s="123"/>
      <c r="E44" s="109">
        <v>140000</v>
      </c>
      <c r="F44" s="111"/>
      <c r="G44" s="110"/>
      <c r="H44" s="109">
        <v>0</v>
      </c>
      <c r="I44" s="111"/>
      <c r="J44" s="110"/>
      <c r="K44" s="109">
        <v>127546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127546</v>
      </c>
      <c r="X44" s="2"/>
      <c r="Y44" s="7"/>
      <c r="Z44" s="7"/>
      <c r="AA44" s="9"/>
    </row>
    <row r="45" spans="1:27" ht="65.099999999999994" customHeight="1">
      <c r="A45" s="85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>
        <v>0</v>
      </c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85">
        <v>5</v>
      </c>
      <c r="B46" s="74" t="s">
        <v>114</v>
      </c>
      <c r="C46" s="122">
        <v>0</v>
      </c>
      <c r="D46" s="123"/>
      <c r="E46" s="109">
        <v>1228</v>
      </c>
      <c r="F46" s="111"/>
      <c r="G46" s="110"/>
      <c r="H46" s="109">
        <v>0</v>
      </c>
      <c r="I46" s="111"/>
      <c r="J46" s="110"/>
      <c r="K46" s="109">
        <v>1228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1228</v>
      </c>
      <c r="X46" s="2"/>
      <c r="Y46" s="7"/>
      <c r="Z46" s="7"/>
      <c r="AA46" s="9"/>
    </row>
    <row r="47" spans="1:27" ht="65.099999999999994" customHeight="1">
      <c r="A47" s="85">
        <v>6</v>
      </c>
      <c r="B47" s="74" t="s">
        <v>115</v>
      </c>
      <c r="C47" s="122">
        <v>22</v>
      </c>
      <c r="D47" s="123"/>
      <c r="E47" s="109">
        <v>7494</v>
      </c>
      <c r="F47" s="111"/>
      <c r="G47" s="110"/>
      <c r="H47" s="109">
        <v>22</v>
      </c>
      <c r="I47" s="111"/>
      <c r="J47" s="110"/>
      <c r="K47" s="109">
        <v>7494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7516</v>
      </c>
      <c r="X47" s="2"/>
      <c r="Y47" s="7"/>
      <c r="Z47" s="7"/>
      <c r="AA47" s="9"/>
    </row>
    <row r="48" spans="1:27" ht="65.099999999999994" customHeight="1">
      <c r="A48" s="85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85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85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65.2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63.7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 t="s">
        <v>67</v>
      </c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8.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452"/>
      <c r="P57" s="452"/>
      <c r="Q57" s="452"/>
      <c r="R57" s="452"/>
      <c r="S57" s="452"/>
      <c r="T57" s="452"/>
      <c r="U57" s="452"/>
      <c r="V57" s="453"/>
    </row>
    <row r="58" spans="1:27" ht="86.2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454"/>
      <c r="P58" s="454"/>
      <c r="Q58" s="454"/>
      <c r="R58" s="454"/>
      <c r="S58" s="454"/>
      <c r="T58" s="454"/>
      <c r="U58" s="454"/>
      <c r="V58" s="455"/>
    </row>
    <row r="61" spans="1:27">
      <c r="S61" s="28"/>
      <c r="T61" s="28"/>
      <c r="U61" s="28"/>
    </row>
    <row r="62" spans="1:27">
      <c r="G62" s="12" t="s">
        <v>58</v>
      </c>
      <c r="H62" s="24">
        <v>1</v>
      </c>
      <c r="I62" s="24"/>
      <c r="J62" s="24">
        <v>1</v>
      </c>
      <c r="S62" s="28"/>
      <c r="T62" s="28">
        <v>17</v>
      </c>
      <c r="U62" s="29"/>
    </row>
    <row r="63" spans="1:27">
      <c r="G63" s="12" t="s">
        <v>103</v>
      </c>
      <c r="H63" s="24">
        <v>1</v>
      </c>
      <c r="I63" s="24">
        <v>1</v>
      </c>
      <c r="J63" s="24"/>
      <c r="S63" s="28"/>
      <c r="T63" s="28">
        <v>17</v>
      </c>
      <c r="U63" s="30"/>
    </row>
    <row r="64" spans="1:27">
      <c r="G64" s="12" t="s">
        <v>44</v>
      </c>
      <c r="H64" s="24">
        <v>2</v>
      </c>
      <c r="I64" s="24">
        <v>2</v>
      </c>
      <c r="J64" s="24"/>
      <c r="S64" s="28"/>
      <c r="T64" s="28">
        <v>17</v>
      </c>
      <c r="U64" s="28"/>
    </row>
    <row r="65" spans="1:31">
      <c r="G65" s="12" t="s">
        <v>8</v>
      </c>
      <c r="H65" s="24">
        <v>8</v>
      </c>
      <c r="I65" s="24">
        <v>8</v>
      </c>
      <c r="J65" s="24"/>
      <c r="T65" s="3">
        <v>17</v>
      </c>
    </row>
    <row r="66" spans="1:31">
      <c r="G66" s="12" t="s">
        <v>101</v>
      </c>
      <c r="H66" s="24">
        <v>1</v>
      </c>
      <c r="I66" s="24">
        <v>1</v>
      </c>
      <c r="J66" s="24"/>
      <c r="T66" s="3">
        <v>19</v>
      </c>
    </row>
    <row r="67" spans="1:31">
      <c r="G67" s="12" t="s">
        <v>63</v>
      </c>
      <c r="H67" s="24">
        <v>8</v>
      </c>
      <c r="I67" s="24">
        <v>7</v>
      </c>
      <c r="J67" s="24">
        <v>1</v>
      </c>
      <c r="T67" s="3">
        <v>20</v>
      </c>
    </row>
    <row r="68" spans="1:31">
      <c r="G68" s="12" t="s">
        <v>17</v>
      </c>
      <c r="H68" s="24">
        <v>7</v>
      </c>
      <c r="I68" s="24">
        <v>6</v>
      </c>
      <c r="J68" s="24">
        <v>1</v>
      </c>
      <c r="T68" s="3">
        <v>21</v>
      </c>
    </row>
    <row r="69" spans="1:31">
      <c r="G69" s="12" t="s">
        <v>65</v>
      </c>
      <c r="H69" s="24">
        <v>2</v>
      </c>
      <c r="I69" s="24">
        <v>2</v>
      </c>
      <c r="J69" s="24"/>
      <c r="T69" s="3">
        <v>18</v>
      </c>
    </row>
    <row r="70" spans="1:31">
      <c r="G70" s="12" t="s">
        <v>62</v>
      </c>
      <c r="H70" s="24">
        <v>7</v>
      </c>
      <c r="I70" s="24">
        <v>6</v>
      </c>
      <c r="J70" s="24">
        <v>1</v>
      </c>
      <c r="T70" s="3">
        <v>18.600000000000001</v>
      </c>
    </row>
    <row r="71" spans="1:31" s="3" customFormat="1">
      <c r="A71"/>
      <c r="B71" s="15"/>
      <c r="G71" s="12" t="s">
        <v>36</v>
      </c>
      <c r="H71" s="24">
        <f>J72+I71</f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43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45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93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46</v>
      </c>
      <c r="H75" s="24">
        <v>1</v>
      </c>
      <c r="I75" s="24">
        <v>1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60</v>
      </c>
      <c r="H76" s="24">
        <v>4</v>
      </c>
      <c r="I76" s="24">
        <v>4</v>
      </c>
      <c r="J76" s="2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48</v>
      </c>
      <c r="H77" s="24">
        <v>1</v>
      </c>
      <c r="I77" s="24"/>
      <c r="J77" s="24">
        <v>1</v>
      </c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12" t="s">
        <v>95</v>
      </c>
      <c r="H78" s="24">
        <v>6</v>
      </c>
      <c r="I78" s="24">
        <v>6</v>
      </c>
      <c r="J78" s="2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2">
    <mergeCell ref="A51:V51"/>
    <mergeCell ref="A52:V52"/>
    <mergeCell ref="A53:N53"/>
    <mergeCell ref="O53:V53"/>
    <mergeCell ref="A54:N58"/>
    <mergeCell ref="O54:V58"/>
    <mergeCell ref="C49:D49"/>
    <mergeCell ref="E49:G49"/>
    <mergeCell ref="H49:J49"/>
    <mergeCell ref="K49:N49"/>
    <mergeCell ref="O49:V49"/>
    <mergeCell ref="C50:D50"/>
    <mergeCell ref="E50:G50"/>
    <mergeCell ref="H50:J50"/>
    <mergeCell ref="K50:N50"/>
    <mergeCell ref="O50:V50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1:D41"/>
    <mergeCell ref="E41:G41"/>
    <mergeCell ref="H41:J41"/>
    <mergeCell ref="K41:N41"/>
    <mergeCell ref="O41:R41"/>
    <mergeCell ref="C42:D42"/>
    <mergeCell ref="E42:G42"/>
    <mergeCell ref="H42:J42"/>
    <mergeCell ref="K42:N42"/>
    <mergeCell ref="O42:R42"/>
    <mergeCell ref="M38:R38"/>
    <mergeCell ref="A39:B39"/>
    <mergeCell ref="F39:G39"/>
    <mergeCell ref="M39:R39"/>
    <mergeCell ref="A40:N40"/>
    <mergeCell ref="O40:V40"/>
    <mergeCell ref="L35:L36"/>
    <mergeCell ref="M35:R36"/>
    <mergeCell ref="S35:S36"/>
    <mergeCell ref="T35:U36"/>
    <mergeCell ref="V35:V36"/>
    <mergeCell ref="M37:R37"/>
    <mergeCell ref="V31:V32"/>
    <mergeCell ref="L33:L34"/>
    <mergeCell ref="M33:R34"/>
    <mergeCell ref="S33:S34"/>
    <mergeCell ref="T33:U34"/>
    <mergeCell ref="V33:V34"/>
    <mergeCell ref="T24:U28"/>
    <mergeCell ref="V24:V28"/>
    <mergeCell ref="W24:W28"/>
    <mergeCell ref="L29:V29"/>
    <mergeCell ref="M30:R30"/>
    <mergeCell ref="W30:W34"/>
    <mergeCell ref="L31:L32"/>
    <mergeCell ref="M31:R32"/>
    <mergeCell ref="S31:S32"/>
    <mergeCell ref="T31:U32"/>
    <mergeCell ref="W18:W19"/>
    <mergeCell ref="L20:L22"/>
    <mergeCell ref="M20:R23"/>
    <mergeCell ref="S20:S23"/>
    <mergeCell ref="T20:U23"/>
    <mergeCell ref="V20:V23"/>
    <mergeCell ref="W20:W23"/>
    <mergeCell ref="L23:L28"/>
    <mergeCell ref="M24:R28"/>
    <mergeCell ref="S24:S28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A6A6-CCF2-49F3-BBD2-889DF8DF47ED}">
  <sheetPr>
    <pageSetUpPr fitToPage="1"/>
  </sheetPr>
  <dimension ref="A1:AH110"/>
  <sheetViews>
    <sheetView rightToLeft="1" view="pageBreakPreview" topLeftCell="A22" zoomScale="40" zoomScaleNormal="110" zoomScaleSheetLayoutView="40" workbookViewId="0">
      <selection activeCell="T16" sqref="T16:U17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181</v>
      </c>
      <c r="S1" s="297"/>
      <c r="T1" s="300" t="s">
        <v>216</v>
      </c>
      <c r="U1" s="300"/>
      <c r="V1" s="420" t="s">
        <v>217</v>
      </c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301"/>
      <c r="U2" s="301"/>
      <c r="V2" s="421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301"/>
      <c r="U3" s="301"/>
      <c r="V3" s="421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218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>
        <v>1</v>
      </c>
      <c r="D7" s="40">
        <v>1</v>
      </c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>
        <v>1</v>
      </c>
      <c r="E8" s="40"/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/>
      <c r="J9" s="40">
        <v>1</v>
      </c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/>
      <c r="J10" s="40">
        <v>1</v>
      </c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7</v>
      </c>
      <c r="I11" s="81"/>
      <c r="J11" s="40">
        <v>7</v>
      </c>
      <c r="K11" s="40"/>
      <c r="L11" s="186">
        <v>2</v>
      </c>
      <c r="M11" s="390" t="s">
        <v>207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220865</v>
      </c>
      <c r="W11" s="236">
        <f>V11+T11</f>
        <v>220865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2</v>
      </c>
      <c r="J14" s="40"/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3</v>
      </c>
      <c r="E15" s="40"/>
      <c r="F15" s="40">
        <v>9</v>
      </c>
      <c r="G15" s="24" t="s">
        <v>69</v>
      </c>
      <c r="H15" s="40">
        <v>2</v>
      </c>
      <c r="I15" s="40">
        <v>1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35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3</v>
      </c>
      <c r="I16" s="152">
        <v>3</v>
      </c>
      <c r="J16" s="152"/>
      <c r="K16" s="152"/>
      <c r="L16" s="152">
        <v>4</v>
      </c>
      <c r="M16" s="431" t="s">
        <v>208</v>
      </c>
      <c r="N16" s="432"/>
      <c r="O16" s="432"/>
      <c r="P16" s="432"/>
      <c r="Q16" s="432"/>
      <c r="R16" s="433"/>
      <c r="S16" s="434" t="s">
        <v>85</v>
      </c>
      <c r="T16" s="367">
        <v>0</v>
      </c>
      <c r="U16" s="368"/>
      <c r="V16" s="445">
        <v>47026</v>
      </c>
      <c r="W16" s="47">
        <f>V16+T16</f>
        <v>47026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35"/>
      <c r="T17" s="371"/>
      <c r="U17" s="372"/>
      <c r="V17" s="447"/>
      <c r="W17" s="47"/>
    </row>
    <row r="18" spans="1:27" ht="51.9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22" t="s">
        <v>209</v>
      </c>
      <c r="N18" s="423"/>
      <c r="O18" s="423"/>
      <c r="P18" s="423"/>
      <c r="Q18" s="423"/>
      <c r="R18" s="424"/>
      <c r="S18" s="160" t="s">
        <v>85</v>
      </c>
      <c r="T18" s="367">
        <v>0</v>
      </c>
      <c r="U18" s="368"/>
      <c r="V18" s="445">
        <v>102146</v>
      </c>
      <c r="W18" s="178">
        <f>V18+T18</f>
        <v>102146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2</v>
      </c>
      <c r="J19" s="40">
        <v>3</v>
      </c>
      <c r="K19" s="40"/>
      <c r="L19" s="186"/>
      <c r="M19" s="425"/>
      <c r="N19" s="426"/>
      <c r="O19" s="426"/>
      <c r="P19" s="426"/>
      <c r="Q19" s="426"/>
      <c r="R19" s="427"/>
      <c r="S19" s="161"/>
      <c r="T19" s="371"/>
      <c r="U19" s="372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203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40859</v>
      </c>
      <c r="W20" s="178">
        <f>V20+T20</f>
        <v>40859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27" t="s">
        <v>8</v>
      </c>
      <c r="C23" s="59">
        <v>12</v>
      </c>
      <c r="D23" s="40">
        <v>10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52">
        <v>7</v>
      </c>
      <c r="M23" s="215"/>
      <c r="N23" s="216"/>
      <c r="O23" s="216"/>
      <c r="P23" s="216"/>
      <c r="Q23" s="216"/>
      <c r="R23" s="217"/>
      <c r="S23" s="444"/>
      <c r="T23" s="371"/>
      <c r="U23" s="372"/>
      <c r="V23" s="447"/>
      <c r="W23" s="178"/>
      <c r="Z23" s="1"/>
    </row>
    <row r="24" spans="1:27" ht="51.95" customHeight="1">
      <c r="A24" s="84">
        <v>17</v>
      </c>
      <c r="B24" s="27" t="s">
        <v>63</v>
      </c>
      <c r="C24" s="59">
        <v>14</v>
      </c>
      <c r="D24" s="40">
        <v>12</v>
      </c>
      <c r="E24" s="40">
        <v>2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01" t="s">
        <v>210</v>
      </c>
      <c r="N24" s="402"/>
      <c r="O24" s="402"/>
      <c r="P24" s="402"/>
      <c r="Q24" s="402"/>
      <c r="R24" s="403"/>
      <c r="S24" s="442" t="s">
        <v>85</v>
      </c>
      <c r="T24" s="360">
        <v>0</v>
      </c>
      <c r="U24" s="361"/>
      <c r="V24" s="445">
        <v>32112</v>
      </c>
      <c r="W24" s="209">
        <f>V24+T24</f>
        <v>32112</v>
      </c>
      <c r="Z24" s="1"/>
    </row>
    <row r="25" spans="1:27" ht="51.95" customHeight="1">
      <c r="A25" s="84">
        <v>18</v>
      </c>
      <c r="B25" s="27" t="s">
        <v>17</v>
      </c>
      <c r="C25" s="40">
        <v>7</v>
      </c>
      <c r="D25" s="40">
        <v>5</v>
      </c>
      <c r="E25" s="40">
        <v>2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87"/>
      <c r="M25" s="404"/>
      <c r="N25" s="405"/>
      <c r="O25" s="405"/>
      <c r="P25" s="405"/>
      <c r="Q25" s="405"/>
      <c r="R25" s="406"/>
      <c r="S25" s="443"/>
      <c r="T25" s="362"/>
      <c r="U25" s="363"/>
      <c r="V25" s="446"/>
      <c r="W25" s="209"/>
      <c r="Z25" s="1">
        <v>35734</v>
      </c>
      <c r="AA25">
        <f>Z25/Z26</f>
        <v>0.30193748996611719</v>
      </c>
    </row>
    <row r="26" spans="1:27" s="6" customFormat="1" ht="51.95" customHeight="1">
      <c r="A26" s="84">
        <v>19</v>
      </c>
      <c r="B26" s="27" t="s">
        <v>43</v>
      </c>
      <c r="C26" s="40">
        <v>1</v>
      </c>
      <c r="D26" s="40">
        <v>1</v>
      </c>
      <c r="E26" s="40"/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405"/>
      <c r="O26" s="405"/>
      <c r="P26" s="405"/>
      <c r="Q26" s="405"/>
      <c r="R26" s="406"/>
      <c r="S26" s="443"/>
      <c r="T26" s="362"/>
      <c r="U26" s="363"/>
      <c r="V26" s="446"/>
      <c r="W26" s="209"/>
      <c r="Z26" s="34">
        <v>118349</v>
      </c>
    </row>
    <row r="27" spans="1:27" s="6" customFormat="1" ht="51.95" customHeight="1">
      <c r="A27" s="84">
        <v>20</v>
      </c>
      <c r="B27" s="27" t="s">
        <v>45</v>
      </c>
      <c r="C27" s="40">
        <v>2</v>
      </c>
      <c r="D27" s="40"/>
      <c r="E27" s="40">
        <v>2</v>
      </c>
      <c r="F27" s="40">
        <v>20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04"/>
      <c r="N27" s="405"/>
      <c r="O27" s="405"/>
      <c r="P27" s="405"/>
      <c r="Q27" s="405"/>
      <c r="R27" s="406"/>
      <c r="S27" s="443"/>
      <c r="T27" s="362"/>
      <c r="U27" s="363"/>
      <c r="V27" s="446"/>
      <c r="W27" s="209"/>
      <c r="Z27" s="34"/>
    </row>
    <row r="28" spans="1:27" s="6" customFormat="1" ht="51.95" customHeight="1">
      <c r="A28" s="84">
        <v>21</v>
      </c>
      <c r="B28" s="27" t="s">
        <v>58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53"/>
      <c r="M28" s="407"/>
      <c r="N28" s="408"/>
      <c r="O28" s="408"/>
      <c r="P28" s="408"/>
      <c r="Q28" s="408"/>
      <c r="R28" s="409"/>
      <c r="S28" s="444"/>
      <c r="T28" s="364"/>
      <c r="U28" s="365"/>
      <c r="V28" s="447"/>
      <c r="W28" s="209"/>
      <c r="Z28" s="34"/>
    </row>
    <row r="29" spans="1:27" ht="51.95" customHeight="1">
      <c r="A29" s="84">
        <v>22</v>
      </c>
      <c r="B29" s="27" t="s">
        <v>101</v>
      </c>
      <c r="C29" s="40">
        <v>1</v>
      </c>
      <c r="D29" s="40">
        <v>1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68" t="s">
        <v>104</v>
      </c>
      <c r="M29" s="169"/>
      <c r="N29" s="169"/>
      <c r="O29" s="169"/>
      <c r="P29" s="169"/>
      <c r="Q29" s="169"/>
      <c r="R29" s="169"/>
      <c r="S29" s="169"/>
      <c r="T29" s="169"/>
      <c r="U29" s="169"/>
      <c r="V29" s="170"/>
      <c r="W29" s="32"/>
      <c r="Z29" s="1"/>
    </row>
    <row r="30" spans="1:27" ht="51.95" customHeight="1">
      <c r="A30" s="84">
        <v>23</v>
      </c>
      <c r="B30" s="27" t="s">
        <v>44</v>
      </c>
      <c r="C30" s="40">
        <v>2</v>
      </c>
      <c r="D30" s="40">
        <v>2</v>
      </c>
      <c r="E30" s="40"/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40">
        <v>1</v>
      </c>
      <c r="M30" s="171" t="s">
        <v>211</v>
      </c>
      <c r="N30" s="172"/>
      <c r="O30" s="172"/>
      <c r="P30" s="172"/>
      <c r="Q30" s="172"/>
      <c r="R30" s="173"/>
      <c r="S30" s="49"/>
      <c r="T30" s="50"/>
      <c r="U30" s="51"/>
      <c r="V30" s="54"/>
      <c r="W30" s="178"/>
      <c r="Z30" s="1"/>
    </row>
    <row r="31" spans="1:27" ht="51.95" customHeight="1">
      <c r="A31" s="84">
        <v>24</v>
      </c>
      <c r="B31" s="27" t="s">
        <v>103</v>
      </c>
      <c r="C31" s="40">
        <v>1</v>
      </c>
      <c r="D31" s="40"/>
      <c r="E31" s="40">
        <v>1</v>
      </c>
      <c r="F31" s="40">
        <v>24</v>
      </c>
      <c r="G31" s="27" t="s">
        <v>97</v>
      </c>
      <c r="H31" s="40">
        <v>2</v>
      </c>
      <c r="I31" s="40"/>
      <c r="J31" s="40"/>
      <c r="K31" s="40"/>
      <c r="L31" s="152">
        <v>2</v>
      </c>
      <c r="M31" s="180" t="s">
        <v>219</v>
      </c>
      <c r="N31" s="181"/>
      <c r="O31" s="181"/>
      <c r="P31" s="181"/>
      <c r="Q31" s="181"/>
      <c r="R31" s="182"/>
      <c r="S31" s="160"/>
      <c r="T31" s="162"/>
      <c r="U31" s="163"/>
      <c r="V31" s="166"/>
      <c r="W31" s="179"/>
      <c r="Z31" s="1"/>
    </row>
    <row r="32" spans="1:27" ht="51.95" customHeight="1">
      <c r="A32" s="84">
        <v>25</v>
      </c>
      <c r="B32" s="27" t="s">
        <v>60</v>
      </c>
      <c r="C32" s="40">
        <v>3</v>
      </c>
      <c r="D32" s="40">
        <v>1</v>
      </c>
      <c r="E32" s="40">
        <v>2</v>
      </c>
      <c r="F32" s="40">
        <v>25</v>
      </c>
      <c r="G32" s="86" t="s">
        <v>220</v>
      </c>
      <c r="H32" s="40">
        <v>1</v>
      </c>
      <c r="I32" s="40"/>
      <c r="J32" s="40">
        <v>1</v>
      </c>
      <c r="K32" s="40"/>
      <c r="L32" s="153"/>
      <c r="M32" s="183"/>
      <c r="N32" s="184"/>
      <c r="O32" s="184"/>
      <c r="P32" s="184"/>
      <c r="Q32" s="184"/>
      <c r="R32" s="185"/>
      <c r="S32" s="161"/>
      <c r="T32" s="164"/>
      <c r="U32" s="165"/>
      <c r="V32" s="167"/>
      <c r="W32" s="179"/>
      <c r="Z32" s="1"/>
    </row>
    <row r="33" spans="1:27" ht="51.95" customHeight="1">
      <c r="A33" s="84">
        <v>26</v>
      </c>
      <c r="B33" s="27" t="s">
        <v>65</v>
      </c>
      <c r="C33" s="40">
        <v>3</v>
      </c>
      <c r="D33" s="40">
        <v>1</v>
      </c>
      <c r="E33" s="40">
        <v>2</v>
      </c>
      <c r="F33" s="40"/>
      <c r="G33" s="27"/>
      <c r="H33" s="40"/>
      <c r="I33" s="40"/>
      <c r="J33" s="40"/>
      <c r="K33" s="40"/>
      <c r="L33" s="186">
        <v>3</v>
      </c>
      <c r="M33" s="180"/>
      <c r="N33" s="181"/>
      <c r="O33" s="181"/>
      <c r="P33" s="181"/>
      <c r="Q33" s="181"/>
      <c r="R33" s="182"/>
      <c r="S33" s="160"/>
      <c r="T33" s="162"/>
      <c r="U33" s="163"/>
      <c r="V33" s="166"/>
      <c r="W33" s="179"/>
      <c r="Z33" s="1"/>
    </row>
    <row r="34" spans="1:27" ht="51.95" customHeight="1">
      <c r="A34" s="84">
        <v>27</v>
      </c>
      <c r="B34" s="27" t="s">
        <v>62</v>
      </c>
      <c r="C34" s="40">
        <v>6</v>
      </c>
      <c r="D34" s="40">
        <v>3</v>
      </c>
      <c r="E34" s="40">
        <v>3</v>
      </c>
      <c r="F34" s="40"/>
      <c r="G34" s="27"/>
      <c r="H34" s="40"/>
      <c r="I34" s="40"/>
      <c r="J34" s="40"/>
      <c r="K34" s="40"/>
      <c r="L34" s="186"/>
      <c r="M34" s="183"/>
      <c r="N34" s="184"/>
      <c r="O34" s="184"/>
      <c r="P34" s="184"/>
      <c r="Q34" s="184"/>
      <c r="R34" s="185"/>
      <c r="S34" s="161"/>
      <c r="T34" s="164"/>
      <c r="U34" s="165"/>
      <c r="V34" s="167"/>
      <c r="W34" s="179"/>
      <c r="Z34" s="1"/>
    </row>
    <row r="35" spans="1:27" ht="51.95" customHeight="1">
      <c r="A35" s="84">
        <v>28</v>
      </c>
      <c r="B35" s="27" t="s">
        <v>36</v>
      </c>
      <c r="C35" s="40">
        <v>1</v>
      </c>
      <c r="D35" s="40">
        <v>1</v>
      </c>
      <c r="E35" s="40"/>
      <c r="F35" s="40"/>
      <c r="G35" s="27"/>
      <c r="H35" s="40"/>
      <c r="I35" s="40"/>
      <c r="J35" s="40"/>
      <c r="K35" s="40"/>
      <c r="L35" s="152">
        <v>4</v>
      </c>
      <c r="M35" s="384"/>
      <c r="N35" s="385"/>
      <c r="O35" s="385"/>
      <c r="P35" s="385"/>
      <c r="Q35" s="385"/>
      <c r="R35" s="386"/>
      <c r="S35" s="160"/>
      <c r="T35" s="162"/>
      <c r="U35" s="163"/>
      <c r="V35" s="166"/>
      <c r="W35" s="16"/>
      <c r="Z35" s="1"/>
    </row>
    <row r="36" spans="1:27" ht="51.95" customHeight="1">
      <c r="A36" s="84">
        <v>29</v>
      </c>
      <c r="B36" s="27" t="s">
        <v>93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3"/>
      <c r="M36" s="387"/>
      <c r="N36" s="388"/>
      <c r="O36" s="388"/>
      <c r="P36" s="388"/>
      <c r="Q36" s="388"/>
      <c r="R36" s="389"/>
      <c r="S36" s="161"/>
      <c r="T36" s="164"/>
      <c r="U36" s="165"/>
      <c r="V36" s="167"/>
      <c r="W36" s="16"/>
      <c r="Z36" s="1"/>
    </row>
    <row r="37" spans="1:27" ht="51.95" customHeight="1">
      <c r="A37" s="84">
        <v>30</v>
      </c>
      <c r="B37" s="27" t="s">
        <v>46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27"/>
      <c r="M37" s="147"/>
      <c r="N37" s="148"/>
      <c r="O37" s="148"/>
      <c r="P37" s="148"/>
      <c r="Q37" s="148"/>
      <c r="R37" s="149"/>
      <c r="S37" s="48"/>
      <c r="T37" s="52"/>
      <c r="U37" s="53"/>
      <c r="V37" s="55"/>
      <c r="W37" s="16"/>
      <c r="Z37" s="1"/>
    </row>
    <row r="38" spans="1:27" ht="63.75" customHeight="1">
      <c r="A38" s="150" t="s">
        <v>9</v>
      </c>
      <c r="B38" s="151"/>
      <c r="C38" s="61">
        <f>SUM(C7:C37)</f>
        <v>78</v>
      </c>
      <c r="D38" s="61">
        <f>SUM(D7:D37)</f>
        <v>59</v>
      </c>
      <c r="E38" s="61">
        <f>SUM(E7:E37)</f>
        <v>19</v>
      </c>
      <c r="F38" s="151" t="s">
        <v>9</v>
      </c>
      <c r="G38" s="151"/>
      <c r="H38" s="64">
        <f>SUM(H7:H37)</f>
        <v>75</v>
      </c>
      <c r="I38" s="64">
        <f>SUM(I7:I37)</f>
        <v>56</v>
      </c>
      <c r="J38" s="64">
        <f>SUM(J7:J37)</f>
        <v>14</v>
      </c>
      <c r="K38" s="64">
        <f>SUM(K7:K37)</f>
        <v>3</v>
      </c>
      <c r="L38" s="76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</row>
    <row r="39" spans="1:27" ht="36" customHeight="1">
      <c r="A39" s="174" t="s">
        <v>81</v>
      </c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6" t="s">
        <v>33</v>
      </c>
      <c r="P39" s="176"/>
      <c r="Q39" s="176"/>
      <c r="R39" s="176"/>
      <c r="S39" s="176"/>
      <c r="T39" s="176"/>
      <c r="U39" s="176"/>
      <c r="V39" s="177"/>
      <c r="W39" s="16"/>
    </row>
    <row r="40" spans="1:27" ht="54" customHeight="1">
      <c r="A40" s="11" t="s">
        <v>2</v>
      </c>
      <c r="B40" s="27" t="s">
        <v>5</v>
      </c>
      <c r="C40" s="143" t="s">
        <v>24</v>
      </c>
      <c r="D40" s="143"/>
      <c r="E40" s="143" t="s">
        <v>68</v>
      </c>
      <c r="F40" s="143"/>
      <c r="G40" s="143"/>
      <c r="H40" s="143" t="s">
        <v>42</v>
      </c>
      <c r="I40" s="143"/>
      <c r="J40" s="143"/>
      <c r="K40" s="143" t="s">
        <v>41</v>
      </c>
      <c r="L40" s="143"/>
      <c r="M40" s="143"/>
      <c r="N40" s="143"/>
      <c r="O40" s="144" t="s">
        <v>31</v>
      </c>
      <c r="P40" s="145"/>
      <c r="Q40" s="145"/>
      <c r="R40" s="146"/>
      <c r="S40" s="62" t="s">
        <v>75</v>
      </c>
      <c r="T40" s="62" t="s">
        <v>77</v>
      </c>
      <c r="U40" s="62" t="s">
        <v>76</v>
      </c>
      <c r="V40" s="63" t="s">
        <v>32</v>
      </c>
      <c r="W40" s="16"/>
    </row>
    <row r="41" spans="1:27" ht="116.25" customHeight="1">
      <c r="A41" s="85">
        <v>1</v>
      </c>
      <c r="B41" s="74" t="s">
        <v>135</v>
      </c>
      <c r="C41" s="134"/>
      <c r="D41" s="135"/>
      <c r="E41" s="109">
        <v>100</v>
      </c>
      <c r="F41" s="111"/>
      <c r="G41" s="110"/>
      <c r="H41" s="134">
        <v>0</v>
      </c>
      <c r="I41" s="136"/>
      <c r="J41" s="135"/>
      <c r="K41" s="134">
        <v>99</v>
      </c>
      <c r="L41" s="136"/>
      <c r="M41" s="136"/>
      <c r="N41" s="135"/>
      <c r="O41" s="137"/>
      <c r="P41" s="138"/>
      <c r="Q41" s="138"/>
      <c r="R41" s="139"/>
      <c r="S41" s="56"/>
      <c r="T41" s="56"/>
      <c r="U41" s="57"/>
      <c r="V41" s="58"/>
      <c r="W41" s="80">
        <f>K41+H41</f>
        <v>99</v>
      </c>
      <c r="Y41" s="8"/>
    </row>
    <row r="42" spans="1:27" ht="108" customHeight="1">
      <c r="A42" s="85">
        <v>2</v>
      </c>
      <c r="B42" s="74" t="s">
        <v>136</v>
      </c>
      <c r="C42" s="117"/>
      <c r="D42" s="118"/>
      <c r="E42" s="109">
        <f>2527+29</f>
        <v>2556</v>
      </c>
      <c r="F42" s="111"/>
      <c r="G42" s="110"/>
      <c r="H42" s="134">
        <v>0</v>
      </c>
      <c r="I42" s="136"/>
      <c r="J42" s="135"/>
      <c r="K42" s="134">
        <v>683</v>
      </c>
      <c r="L42" s="136"/>
      <c r="M42" s="136"/>
      <c r="N42" s="135"/>
      <c r="O42" s="129"/>
      <c r="P42" s="130"/>
      <c r="Q42" s="130"/>
      <c r="R42" s="131"/>
      <c r="S42" s="56"/>
      <c r="T42" s="56"/>
      <c r="U42" s="57"/>
      <c r="V42" s="58"/>
      <c r="W42" s="80">
        <f t="shared" ref="W42:W49" si="2">K42+H42</f>
        <v>683</v>
      </c>
      <c r="X42" s="2"/>
      <c r="Y42" s="7"/>
      <c r="Z42" s="7"/>
      <c r="AA42" s="9"/>
    </row>
    <row r="43" spans="1:27" ht="90.75" customHeight="1">
      <c r="A43" s="85">
        <v>3</v>
      </c>
      <c r="B43" s="74" t="s">
        <v>80</v>
      </c>
      <c r="C43" s="122"/>
      <c r="D43" s="123"/>
      <c r="E43" s="109">
        <v>140000</v>
      </c>
      <c r="F43" s="111"/>
      <c r="G43" s="110"/>
      <c r="H43" s="109">
        <v>0</v>
      </c>
      <c r="I43" s="111"/>
      <c r="J43" s="110"/>
      <c r="K43" s="109">
        <v>127546</v>
      </c>
      <c r="L43" s="111"/>
      <c r="M43" s="111"/>
      <c r="N43" s="110"/>
      <c r="O43" s="129"/>
      <c r="P43" s="130"/>
      <c r="Q43" s="130"/>
      <c r="R43" s="131"/>
      <c r="S43" s="37"/>
      <c r="T43" s="26"/>
      <c r="U43" s="26"/>
      <c r="V43" s="38"/>
      <c r="W43" s="78">
        <f>K43+H43</f>
        <v>127546</v>
      </c>
      <c r="X43" s="2"/>
      <c r="Y43" s="7"/>
      <c r="Z43" s="7"/>
      <c r="AA43" s="9"/>
    </row>
    <row r="44" spans="1:27" ht="65.099999999999994" customHeight="1">
      <c r="A44" s="85">
        <v>4</v>
      </c>
      <c r="B44" s="74" t="s">
        <v>56</v>
      </c>
      <c r="C44" s="117"/>
      <c r="D44" s="118"/>
      <c r="E44" s="109">
        <v>20920</v>
      </c>
      <c r="F44" s="111"/>
      <c r="G44" s="110"/>
      <c r="H44" s="109">
        <v>0</v>
      </c>
      <c r="I44" s="111"/>
      <c r="J44" s="110"/>
      <c r="K44" s="109">
        <v>15900</v>
      </c>
      <c r="L44" s="111"/>
      <c r="M44" s="111"/>
      <c r="N44" s="110"/>
      <c r="O44" s="132" t="s">
        <v>25</v>
      </c>
      <c r="P44" s="132"/>
      <c r="Q44" s="132"/>
      <c r="R44" s="132"/>
      <c r="S44" s="132"/>
      <c r="T44" s="132"/>
      <c r="U44" s="132"/>
      <c r="V44" s="133"/>
      <c r="W44" s="22">
        <f t="shared" si="2"/>
        <v>15900</v>
      </c>
      <c r="X44" s="2"/>
      <c r="Y44" s="7"/>
      <c r="Z44" s="7"/>
      <c r="AA44" s="9"/>
    </row>
    <row r="45" spans="1:27" ht="65.099999999999994" customHeight="1">
      <c r="A45" s="85">
        <v>5</v>
      </c>
      <c r="B45" s="74" t="s">
        <v>114</v>
      </c>
      <c r="C45" s="122"/>
      <c r="D45" s="123"/>
      <c r="E45" s="109">
        <v>1239</v>
      </c>
      <c r="F45" s="111"/>
      <c r="G45" s="110"/>
      <c r="H45" s="109"/>
      <c r="I45" s="111"/>
      <c r="J45" s="110"/>
      <c r="K45" s="109">
        <v>1239</v>
      </c>
      <c r="L45" s="111"/>
      <c r="M45" s="111"/>
      <c r="N45" s="110"/>
      <c r="O45" s="126" t="s">
        <v>107</v>
      </c>
      <c r="P45" s="127"/>
      <c r="Q45" s="127"/>
      <c r="R45" s="127"/>
      <c r="S45" s="127"/>
      <c r="T45" s="127"/>
      <c r="U45" s="127"/>
      <c r="V45" s="128"/>
      <c r="W45" s="22">
        <f>K45+H45</f>
        <v>1239</v>
      </c>
      <c r="X45" s="2"/>
      <c r="Y45" s="7"/>
      <c r="Z45" s="7"/>
      <c r="AA45" s="9"/>
    </row>
    <row r="46" spans="1:27" ht="65.099999999999994" customHeight="1">
      <c r="A46" s="85">
        <v>6</v>
      </c>
      <c r="B46" s="74" t="s">
        <v>115</v>
      </c>
      <c r="C46" s="122">
        <v>22</v>
      </c>
      <c r="D46" s="123"/>
      <c r="E46" s="109">
        <v>7516</v>
      </c>
      <c r="F46" s="111"/>
      <c r="G46" s="110"/>
      <c r="H46" s="109">
        <v>22</v>
      </c>
      <c r="I46" s="111"/>
      <c r="J46" s="110"/>
      <c r="K46" s="109">
        <v>7516</v>
      </c>
      <c r="L46" s="111"/>
      <c r="M46" s="111"/>
      <c r="N46" s="110"/>
      <c r="O46" s="126" t="s">
        <v>86</v>
      </c>
      <c r="P46" s="127"/>
      <c r="Q46" s="127"/>
      <c r="R46" s="127"/>
      <c r="S46" s="127"/>
      <c r="T46" s="127"/>
      <c r="U46" s="127"/>
      <c r="V46" s="128"/>
      <c r="W46" s="23">
        <f>K46+H46</f>
        <v>7538</v>
      </c>
      <c r="X46" s="2"/>
      <c r="Y46" s="7"/>
      <c r="Z46" s="7"/>
      <c r="AA46" s="9"/>
    </row>
    <row r="47" spans="1:27" ht="65.099999999999994" customHeight="1">
      <c r="A47" s="85">
        <v>7</v>
      </c>
      <c r="B47" s="74" t="s">
        <v>79</v>
      </c>
      <c r="C47" s="117"/>
      <c r="D47" s="118"/>
      <c r="E47" s="109">
        <v>9260</v>
      </c>
      <c r="F47" s="111"/>
      <c r="G47" s="110"/>
      <c r="H47" s="109">
        <v>0</v>
      </c>
      <c r="I47" s="111"/>
      <c r="J47" s="110"/>
      <c r="K47" s="109">
        <v>7980</v>
      </c>
      <c r="L47" s="111"/>
      <c r="M47" s="111"/>
      <c r="N47" s="110"/>
      <c r="O47" s="119" t="s">
        <v>87</v>
      </c>
      <c r="P47" s="120"/>
      <c r="Q47" s="120"/>
      <c r="R47" s="120"/>
      <c r="S47" s="120"/>
      <c r="T47" s="120"/>
      <c r="U47" s="120"/>
      <c r="V47" s="121"/>
      <c r="W47" s="22">
        <f t="shared" si="2"/>
        <v>7980</v>
      </c>
      <c r="X47" s="2"/>
      <c r="Y47" s="7"/>
      <c r="Z47" s="7"/>
      <c r="AA47" s="9"/>
    </row>
    <row r="48" spans="1:27" ht="65.099999999999994" customHeight="1">
      <c r="A48" s="85">
        <v>8</v>
      </c>
      <c r="B48" s="74" t="s">
        <v>98</v>
      </c>
      <c r="C48" s="122"/>
      <c r="D48" s="123"/>
      <c r="E48" s="109">
        <v>2938</v>
      </c>
      <c r="F48" s="111"/>
      <c r="G48" s="110"/>
      <c r="H48" s="109">
        <v>0</v>
      </c>
      <c r="I48" s="111"/>
      <c r="J48" s="110"/>
      <c r="K48" s="109">
        <v>400</v>
      </c>
      <c r="L48" s="111"/>
      <c r="M48" s="111"/>
      <c r="N48" s="110"/>
      <c r="O48" s="124" t="s">
        <v>96</v>
      </c>
      <c r="P48" s="124"/>
      <c r="Q48" s="124"/>
      <c r="R48" s="124"/>
      <c r="S48" s="124"/>
      <c r="T48" s="124"/>
      <c r="U48" s="124"/>
      <c r="V48" s="125"/>
      <c r="W48" s="22">
        <f t="shared" si="2"/>
        <v>400</v>
      </c>
      <c r="X48" s="2"/>
      <c r="Y48" s="7"/>
      <c r="Z48" s="7"/>
      <c r="AA48" s="9"/>
    </row>
    <row r="49" spans="1:27" ht="65.099999999999994" customHeight="1">
      <c r="A49" s="85">
        <v>9</v>
      </c>
      <c r="B49" s="74" t="s">
        <v>99</v>
      </c>
      <c r="C49" s="109"/>
      <c r="D49" s="110"/>
      <c r="E49" s="109">
        <v>1523</v>
      </c>
      <c r="F49" s="111"/>
      <c r="G49" s="110"/>
      <c r="H49" s="109">
        <v>0</v>
      </c>
      <c r="I49" s="111"/>
      <c r="J49" s="110"/>
      <c r="K49" s="109">
        <v>200</v>
      </c>
      <c r="L49" s="111"/>
      <c r="M49" s="111"/>
      <c r="N49" s="110"/>
      <c r="O49" s="399"/>
      <c r="P49" s="399"/>
      <c r="Q49" s="399"/>
      <c r="R49" s="399"/>
      <c r="S49" s="399"/>
      <c r="T49" s="399"/>
      <c r="U49" s="399"/>
      <c r="V49" s="400"/>
      <c r="W49" s="22">
        <f t="shared" si="2"/>
        <v>200</v>
      </c>
      <c r="X49" s="2"/>
      <c r="Y49" s="7"/>
      <c r="Z49" s="7"/>
      <c r="AA49" s="9"/>
    </row>
    <row r="50" spans="1:27" ht="36.75" customHeight="1">
      <c r="A50" s="114" t="s">
        <v>90</v>
      </c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6"/>
      <c r="W50" s="21"/>
      <c r="X50" s="2"/>
      <c r="Y50" s="7">
        <f>14050+100</f>
        <v>14150</v>
      </c>
      <c r="Z50" s="7"/>
      <c r="AA50" s="9"/>
    </row>
    <row r="51" spans="1:27" s="44" customFormat="1" ht="54" customHeight="1">
      <c r="A51" s="93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5"/>
      <c r="W51" s="41"/>
      <c r="X51" s="42"/>
      <c r="Y51" s="42"/>
      <c r="Z51" s="42"/>
      <c r="AA51" s="43"/>
    </row>
    <row r="52" spans="1:27" ht="65.25" customHeight="1">
      <c r="A52" s="96" t="s">
        <v>88</v>
      </c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8"/>
      <c r="O52" s="99" t="s">
        <v>18</v>
      </c>
      <c r="P52" s="99"/>
      <c r="Q52" s="99"/>
      <c r="R52" s="99"/>
      <c r="S52" s="99"/>
      <c r="T52" s="99"/>
      <c r="U52" s="99"/>
      <c r="V52" s="100"/>
    </row>
    <row r="53" spans="1:27" ht="63.7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 t="s">
        <v>67</v>
      </c>
      <c r="P53" s="452"/>
      <c r="Q53" s="452"/>
      <c r="R53" s="452"/>
      <c r="S53" s="452"/>
      <c r="T53" s="452"/>
      <c r="U53" s="452"/>
      <c r="V53" s="453"/>
    </row>
    <row r="54" spans="1:27" ht="4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/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88.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6.25" customHeight="1" thickBot="1">
      <c r="A57" s="103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454"/>
      <c r="P57" s="454"/>
      <c r="Q57" s="454"/>
      <c r="R57" s="454"/>
      <c r="S57" s="454"/>
      <c r="T57" s="454"/>
      <c r="U57" s="454"/>
      <c r="V57" s="455"/>
    </row>
    <row r="60" spans="1:27">
      <c r="S60" s="28"/>
      <c r="T60" s="28"/>
      <c r="U60" s="28"/>
    </row>
    <row r="61" spans="1:27">
      <c r="G61" s="12" t="s">
        <v>58</v>
      </c>
      <c r="H61" s="24">
        <v>1</v>
      </c>
      <c r="I61" s="24"/>
      <c r="J61" s="24">
        <v>1</v>
      </c>
      <c r="S61" s="28"/>
      <c r="T61" s="28">
        <v>17</v>
      </c>
      <c r="U61" s="29"/>
    </row>
    <row r="62" spans="1:27">
      <c r="G62" s="12" t="s">
        <v>103</v>
      </c>
      <c r="H62" s="24">
        <v>1</v>
      </c>
      <c r="I62" s="24">
        <v>1</v>
      </c>
      <c r="J62" s="24"/>
      <c r="S62" s="28"/>
      <c r="T62" s="28">
        <v>17</v>
      </c>
      <c r="U62" s="30"/>
    </row>
    <row r="63" spans="1:27">
      <c r="G63" s="12" t="s">
        <v>44</v>
      </c>
      <c r="H63" s="24">
        <v>2</v>
      </c>
      <c r="I63" s="24">
        <v>2</v>
      </c>
      <c r="J63" s="24"/>
      <c r="S63" s="28"/>
      <c r="T63" s="28">
        <v>17</v>
      </c>
      <c r="U63" s="28"/>
    </row>
    <row r="64" spans="1:27">
      <c r="G64" s="12" t="s">
        <v>8</v>
      </c>
      <c r="H64" s="24">
        <v>8</v>
      </c>
      <c r="I64" s="24">
        <v>8</v>
      </c>
      <c r="J64" s="24"/>
      <c r="T64" s="3">
        <v>17</v>
      </c>
    </row>
    <row r="65" spans="1:31">
      <c r="G65" s="12" t="s">
        <v>101</v>
      </c>
      <c r="H65" s="24">
        <v>1</v>
      </c>
      <c r="I65" s="24">
        <v>1</v>
      </c>
      <c r="J65" s="24"/>
      <c r="T65" s="3">
        <v>19</v>
      </c>
    </row>
    <row r="66" spans="1:31">
      <c r="G66" s="12" t="s">
        <v>63</v>
      </c>
      <c r="H66" s="24">
        <v>8</v>
      </c>
      <c r="I66" s="24">
        <v>7</v>
      </c>
      <c r="J66" s="24">
        <v>1</v>
      </c>
      <c r="T66" s="3">
        <v>20</v>
      </c>
    </row>
    <row r="67" spans="1:31">
      <c r="G67" s="12" t="s">
        <v>17</v>
      </c>
      <c r="H67" s="24">
        <v>7</v>
      </c>
      <c r="I67" s="24">
        <v>6</v>
      </c>
      <c r="J67" s="24">
        <v>1</v>
      </c>
      <c r="T67" s="3">
        <v>21</v>
      </c>
    </row>
    <row r="68" spans="1:31">
      <c r="G68" s="12" t="s">
        <v>65</v>
      </c>
      <c r="H68" s="24">
        <v>2</v>
      </c>
      <c r="I68" s="24">
        <v>2</v>
      </c>
      <c r="J68" s="24"/>
      <c r="T68" s="3">
        <v>18</v>
      </c>
    </row>
    <row r="69" spans="1:31">
      <c r="G69" s="12" t="s">
        <v>62</v>
      </c>
      <c r="H69" s="24">
        <v>7</v>
      </c>
      <c r="I69" s="24">
        <v>6</v>
      </c>
      <c r="J69" s="24">
        <v>1</v>
      </c>
      <c r="T69" s="3">
        <v>18.600000000000001</v>
      </c>
    </row>
    <row r="70" spans="1:31" s="3" customFormat="1">
      <c r="A70"/>
      <c r="B70" s="15"/>
      <c r="G70" s="12" t="s">
        <v>36</v>
      </c>
      <c r="H70" s="24">
        <f>J71+I70</f>
        <v>1</v>
      </c>
      <c r="I70" s="24">
        <v>1</v>
      </c>
      <c r="J70" s="24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12" t="s">
        <v>43</v>
      </c>
      <c r="H71" s="24">
        <v>1</v>
      </c>
      <c r="I71" s="24">
        <v>1</v>
      </c>
      <c r="J71" s="24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12" t="s">
        <v>45</v>
      </c>
      <c r="H72" s="24">
        <v>1</v>
      </c>
      <c r="I72" s="24">
        <v>1</v>
      </c>
      <c r="J72" s="24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12" t="s">
        <v>93</v>
      </c>
      <c r="H73" s="24">
        <v>1</v>
      </c>
      <c r="I73" s="24">
        <v>1</v>
      </c>
      <c r="J73" s="24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12" t="s">
        <v>46</v>
      </c>
      <c r="H74" s="24">
        <v>1</v>
      </c>
      <c r="I74" s="24">
        <v>1</v>
      </c>
      <c r="J74" s="24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12" t="s">
        <v>60</v>
      </c>
      <c r="H75" s="24">
        <v>4</v>
      </c>
      <c r="I75" s="24">
        <v>4</v>
      </c>
      <c r="J75" s="2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12" t="s">
        <v>48</v>
      </c>
      <c r="H76" s="24">
        <v>1</v>
      </c>
      <c r="I76" s="24"/>
      <c r="J76" s="24">
        <v>1</v>
      </c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12" t="s">
        <v>95</v>
      </c>
      <c r="H77" s="24">
        <v>6</v>
      </c>
      <c r="I77" s="24">
        <v>6</v>
      </c>
      <c r="J77" s="2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24</v>
      </c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22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19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22</v>
      </c>
      <c r="W110" s="20"/>
      <c r="X110"/>
      <c r="Y110"/>
      <c r="Z110"/>
      <c r="AA110"/>
      <c r="AB110"/>
      <c r="AC110"/>
      <c r="AD110"/>
      <c r="AE110"/>
    </row>
  </sheetData>
  <autoFilter ref="A6:AE50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1">
    <mergeCell ref="A50:V50"/>
    <mergeCell ref="A51:V51"/>
    <mergeCell ref="A52:N52"/>
    <mergeCell ref="O52:V52"/>
    <mergeCell ref="A53:N57"/>
    <mergeCell ref="O53:V57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4:D44"/>
    <mergeCell ref="E44:G44"/>
    <mergeCell ref="H44:J44"/>
    <mergeCell ref="K44:N44"/>
    <mergeCell ref="O44:V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R41"/>
    <mergeCell ref="A38:B38"/>
    <mergeCell ref="F38:G38"/>
    <mergeCell ref="M38:R38"/>
    <mergeCell ref="A39:N39"/>
    <mergeCell ref="O39:V39"/>
    <mergeCell ref="L35:L36"/>
    <mergeCell ref="M35:R36"/>
    <mergeCell ref="S35:S36"/>
    <mergeCell ref="T35:U36"/>
    <mergeCell ref="V35:V36"/>
    <mergeCell ref="M37:R37"/>
    <mergeCell ref="V31:V32"/>
    <mergeCell ref="L33:L34"/>
    <mergeCell ref="M33:R34"/>
    <mergeCell ref="S33:S34"/>
    <mergeCell ref="T33:U34"/>
    <mergeCell ref="V33:V34"/>
    <mergeCell ref="T24:U28"/>
    <mergeCell ref="V24:V28"/>
    <mergeCell ref="W24:W28"/>
    <mergeCell ref="L29:V29"/>
    <mergeCell ref="M30:R30"/>
    <mergeCell ref="W30:W34"/>
    <mergeCell ref="L31:L32"/>
    <mergeCell ref="M31:R32"/>
    <mergeCell ref="S31:S32"/>
    <mergeCell ref="T31:U32"/>
    <mergeCell ref="W18:W19"/>
    <mergeCell ref="L20:L22"/>
    <mergeCell ref="M20:R23"/>
    <mergeCell ref="S20:S23"/>
    <mergeCell ref="T20:U23"/>
    <mergeCell ref="V20:V23"/>
    <mergeCell ref="W20:W23"/>
    <mergeCell ref="L23:L28"/>
    <mergeCell ref="M24:R28"/>
    <mergeCell ref="S24:S28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S3"/>
    <mergeCell ref="T1:U3"/>
    <mergeCell ref="V1:V3"/>
    <mergeCell ref="F2:Q2"/>
    <mergeCell ref="F3:Q3"/>
    <mergeCell ref="F4:Q4"/>
    <mergeCell ref="R4:S4"/>
    <mergeCell ref="T4:U4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6D1C-2CF2-4670-AC61-2D0CBE61EF22}">
  <sheetPr>
    <pageSetUpPr fitToPage="1"/>
  </sheetPr>
  <dimension ref="A1:AH111"/>
  <sheetViews>
    <sheetView rightToLeft="1" view="pageBreakPreview" topLeftCell="A22" zoomScale="40" zoomScaleNormal="110" zoomScaleSheetLayoutView="40" workbookViewId="0">
      <selection activeCell="M11" sqref="M11:R14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60" t="s">
        <v>140</v>
      </c>
      <c r="S1" s="297" t="s">
        <v>221</v>
      </c>
      <c r="T1" s="297"/>
      <c r="U1" s="462" t="s">
        <v>222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61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61"/>
      <c r="S3" s="299"/>
      <c r="T3" s="299"/>
      <c r="U3" s="464"/>
      <c r="V3" s="465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223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>
        <v>1</v>
      </c>
      <c r="D7" s="40">
        <v>1</v>
      </c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/>
      <c r="J9" s="40">
        <v>1</v>
      </c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/>
      <c r="J10" s="40">
        <v>1</v>
      </c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7</v>
      </c>
      <c r="I11" s="81"/>
      <c r="J11" s="40">
        <v>7</v>
      </c>
      <c r="K11" s="40"/>
      <c r="L11" s="186">
        <v>2</v>
      </c>
      <c r="M11" s="390" t="s">
        <v>226</v>
      </c>
      <c r="N11" s="391"/>
      <c r="O11" s="391"/>
      <c r="P11" s="391"/>
      <c r="Q11" s="391"/>
      <c r="R11" s="392"/>
      <c r="S11" s="160" t="s">
        <v>57</v>
      </c>
      <c r="T11" s="360">
        <v>3300</v>
      </c>
      <c r="U11" s="361"/>
      <c r="V11" s="445">
        <v>224165</v>
      </c>
      <c r="W11" s="236">
        <f>V11+T11</f>
        <v>227465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2</v>
      </c>
      <c r="J14" s="40"/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1</v>
      </c>
      <c r="E15" s="40">
        <v>2</v>
      </c>
      <c r="F15" s="40">
        <v>9</v>
      </c>
      <c r="G15" s="24" t="s">
        <v>69</v>
      </c>
      <c r="H15" s="40">
        <v>2</v>
      </c>
      <c r="I15" s="40">
        <v>1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3</v>
      </c>
      <c r="I16" s="152">
        <v>3</v>
      </c>
      <c r="J16" s="152"/>
      <c r="K16" s="152"/>
      <c r="L16" s="152">
        <v>4</v>
      </c>
      <c r="M16" s="431" t="s">
        <v>208</v>
      </c>
      <c r="N16" s="432"/>
      <c r="O16" s="432"/>
      <c r="P16" s="432"/>
      <c r="Q16" s="432"/>
      <c r="R16" s="433"/>
      <c r="S16" s="458" t="s">
        <v>85</v>
      </c>
      <c r="T16" s="367">
        <v>0</v>
      </c>
      <c r="U16" s="368"/>
      <c r="V16" s="445">
        <v>47026</v>
      </c>
      <c r="W16" s="47">
        <f>V16+T16</f>
        <v>47026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71"/>
      <c r="U17" s="372"/>
      <c r="V17" s="447"/>
      <c r="W17" s="47"/>
    </row>
    <row r="18" spans="1:27" ht="51.9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230" t="s">
        <v>209</v>
      </c>
      <c r="N18" s="231"/>
      <c r="O18" s="231"/>
      <c r="P18" s="231"/>
      <c r="Q18" s="231"/>
      <c r="R18" s="232"/>
      <c r="S18" s="160" t="s">
        <v>85</v>
      </c>
      <c r="T18" s="367">
        <v>0</v>
      </c>
      <c r="U18" s="368"/>
      <c r="V18" s="445">
        <v>102146</v>
      </c>
      <c r="W18" s="178">
        <f>V18+T18</f>
        <v>102146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2</v>
      </c>
      <c r="J19" s="40">
        <v>3</v>
      </c>
      <c r="K19" s="40"/>
      <c r="L19" s="186"/>
      <c r="M19" s="233"/>
      <c r="N19" s="234"/>
      <c r="O19" s="234"/>
      <c r="P19" s="234"/>
      <c r="Q19" s="234"/>
      <c r="R19" s="235"/>
      <c r="S19" s="161"/>
      <c r="T19" s="371"/>
      <c r="U19" s="372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203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40859</v>
      </c>
      <c r="W20" s="178">
        <f>V20+T20</f>
        <v>40859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31" t="s">
        <v>225</v>
      </c>
      <c r="C23" s="40">
        <v>1</v>
      </c>
      <c r="D23" s="40">
        <v>1</v>
      </c>
      <c r="E23" s="40"/>
      <c r="F23" s="40"/>
      <c r="G23" s="27" t="s">
        <v>7</v>
      </c>
      <c r="H23" s="40">
        <v>3</v>
      </c>
      <c r="I23" s="40">
        <v>3</v>
      </c>
      <c r="J23" s="40"/>
      <c r="K23" s="40"/>
      <c r="L23" s="187"/>
      <c r="M23" s="215"/>
      <c r="N23" s="216"/>
      <c r="O23" s="216"/>
      <c r="P23" s="216"/>
      <c r="Q23" s="216"/>
      <c r="R23" s="217"/>
      <c r="S23" s="443"/>
      <c r="T23" s="369"/>
      <c r="U23" s="370"/>
      <c r="V23" s="446"/>
      <c r="W23" s="178"/>
      <c r="Z23" s="1"/>
    </row>
    <row r="24" spans="1:27" ht="70.5" customHeight="1">
      <c r="A24" s="84">
        <v>17</v>
      </c>
      <c r="B24" s="27" t="s">
        <v>8</v>
      </c>
      <c r="C24" s="59">
        <v>12</v>
      </c>
      <c r="D24" s="40">
        <v>10</v>
      </c>
      <c r="E24" s="40">
        <v>2</v>
      </c>
      <c r="F24" s="40">
        <v>16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215"/>
      <c r="N24" s="216"/>
      <c r="O24" s="216"/>
      <c r="P24" s="216"/>
      <c r="Q24" s="216"/>
      <c r="R24" s="217"/>
      <c r="S24" s="444"/>
      <c r="T24" s="371"/>
      <c r="U24" s="372"/>
      <c r="V24" s="447"/>
      <c r="W24" s="178"/>
      <c r="Z24" s="1"/>
    </row>
    <row r="25" spans="1:27" ht="51.95" customHeight="1">
      <c r="A25" s="84">
        <v>18</v>
      </c>
      <c r="B25" s="27" t="s">
        <v>63</v>
      </c>
      <c r="C25" s="59">
        <v>14</v>
      </c>
      <c r="D25" s="40">
        <v>12</v>
      </c>
      <c r="E25" s="40">
        <v>2</v>
      </c>
      <c r="F25" s="40">
        <v>17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01" t="s">
        <v>224</v>
      </c>
      <c r="N25" s="402"/>
      <c r="O25" s="402"/>
      <c r="P25" s="402"/>
      <c r="Q25" s="402"/>
      <c r="R25" s="403"/>
      <c r="S25" s="442" t="s">
        <v>85</v>
      </c>
      <c r="T25" s="360">
        <v>327</v>
      </c>
      <c r="U25" s="361"/>
      <c r="V25" s="445">
        <v>32439</v>
      </c>
      <c r="W25" s="209">
        <f>V25+T25</f>
        <v>32766</v>
      </c>
      <c r="Z25" s="1"/>
    </row>
    <row r="26" spans="1:27" ht="51.95" customHeight="1">
      <c r="A26" s="84">
        <v>19</v>
      </c>
      <c r="B26" s="27" t="s">
        <v>17</v>
      </c>
      <c r="C26" s="40">
        <v>7</v>
      </c>
      <c r="D26" s="40">
        <v>5</v>
      </c>
      <c r="E26" s="40">
        <v>2</v>
      </c>
      <c r="F26" s="40">
        <v>18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405"/>
      <c r="O26" s="405"/>
      <c r="P26" s="405"/>
      <c r="Q26" s="405"/>
      <c r="R26" s="406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51.95" customHeight="1">
      <c r="A27" s="84">
        <v>20</v>
      </c>
      <c r="B27" s="27" t="s">
        <v>43</v>
      </c>
      <c r="C27" s="40">
        <v>1</v>
      </c>
      <c r="D27" s="40">
        <v>1</v>
      </c>
      <c r="E27" s="40"/>
      <c r="F27" s="40">
        <v>19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04"/>
      <c r="N27" s="405"/>
      <c r="O27" s="405"/>
      <c r="P27" s="405"/>
      <c r="Q27" s="405"/>
      <c r="R27" s="406"/>
      <c r="S27" s="443"/>
      <c r="T27" s="362"/>
      <c r="U27" s="363"/>
      <c r="V27" s="446"/>
      <c r="W27" s="209"/>
      <c r="Z27" s="34">
        <v>118349</v>
      </c>
    </row>
    <row r="28" spans="1:27" s="6" customFormat="1" ht="51.95" customHeight="1">
      <c r="A28" s="84">
        <v>21</v>
      </c>
      <c r="B28" s="27" t="s">
        <v>45</v>
      </c>
      <c r="C28" s="40">
        <v>2</v>
      </c>
      <c r="D28" s="40"/>
      <c r="E28" s="40">
        <v>2</v>
      </c>
      <c r="F28" s="40">
        <v>20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04"/>
      <c r="N28" s="405"/>
      <c r="O28" s="405"/>
      <c r="P28" s="405"/>
      <c r="Q28" s="405"/>
      <c r="R28" s="406"/>
      <c r="S28" s="443"/>
      <c r="T28" s="362"/>
      <c r="U28" s="363"/>
      <c r="V28" s="446"/>
      <c r="W28" s="209"/>
      <c r="Z28" s="34"/>
    </row>
    <row r="29" spans="1:27" s="6" customFormat="1" ht="51.95" customHeight="1">
      <c r="A29" s="84">
        <v>22</v>
      </c>
      <c r="B29" s="27" t="s">
        <v>58</v>
      </c>
      <c r="C29" s="40">
        <v>1</v>
      </c>
      <c r="D29" s="40">
        <v>1</v>
      </c>
      <c r="E29" s="40"/>
      <c r="F29" s="40">
        <v>21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07"/>
      <c r="N29" s="408"/>
      <c r="O29" s="408"/>
      <c r="P29" s="408"/>
      <c r="Q29" s="408"/>
      <c r="R29" s="409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101</v>
      </c>
      <c r="C30" s="40">
        <v>1</v>
      </c>
      <c r="D30" s="40"/>
      <c r="E30" s="40">
        <v>1</v>
      </c>
      <c r="F30" s="40">
        <v>22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44</v>
      </c>
      <c r="C31" s="40">
        <v>2</v>
      </c>
      <c r="D31" s="40">
        <v>2</v>
      </c>
      <c r="E31" s="40"/>
      <c r="F31" s="40">
        <v>23</v>
      </c>
      <c r="G31" s="27" t="s">
        <v>97</v>
      </c>
      <c r="H31" s="40">
        <v>2</v>
      </c>
      <c r="I31" s="40"/>
      <c r="J31" s="40">
        <v>2</v>
      </c>
      <c r="K31" s="40"/>
      <c r="L31" s="40">
        <v>1</v>
      </c>
      <c r="M31" s="171" t="s">
        <v>211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103</v>
      </c>
      <c r="C32" s="40">
        <v>1</v>
      </c>
      <c r="D32" s="40"/>
      <c r="E32" s="40">
        <v>1</v>
      </c>
      <c r="F32" s="40">
        <v>24</v>
      </c>
      <c r="G32" s="86" t="s">
        <v>220</v>
      </c>
      <c r="H32" s="40">
        <v>1</v>
      </c>
      <c r="I32" s="40"/>
      <c r="J32" s="40">
        <v>1</v>
      </c>
      <c r="K32" s="40"/>
      <c r="L32" s="152">
        <v>2</v>
      </c>
      <c r="M32" s="180" t="s">
        <v>219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60</v>
      </c>
      <c r="C33" s="40">
        <v>3</v>
      </c>
      <c r="D33" s="40">
        <v>2</v>
      </c>
      <c r="E33" s="40">
        <v>1</v>
      </c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65</v>
      </c>
      <c r="C34" s="40">
        <v>3</v>
      </c>
      <c r="D34" s="40">
        <v>1</v>
      </c>
      <c r="E34" s="40">
        <v>2</v>
      </c>
      <c r="F34" s="40"/>
      <c r="G34" s="27"/>
      <c r="H34" s="40"/>
      <c r="I34" s="40"/>
      <c r="J34" s="40"/>
      <c r="K34" s="40"/>
      <c r="L34" s="186">
        <v>3</v>
      </c>
      <c r="M34" s="180"/>
      <c r="N34" s="181"/>
      <c r="O34" s="181"/>
      <c r="P34" s="181"/>
      <c r="Q34" s="181"/>
      <c r="R34" s="182"/>
      <c r="S34" s="160"/>
      <c r="T34" s="162"/>
      <c r="U34" s="163"/>
      <c r="V34" s="166"/>
      <c r="W34" s="179"/>
      <c r="Z34" s="1"/>
    </row>
    <row r="35" spans="1:27" ht="51.95" customHeight="1">
      <c r="A35" s="84">
        <v>28</v>
      </c>
      <c r="B35" s="27" t="s">
        <v>62</v>
      </c>
      <c r="C35" s="40">
        <v>6</v>
      </c>
      <c r="D35" s="40">
        <v>3</v>
      </c>
      <c r="E35" s="40">
        <v>3</v>
      </c>
      <c r="F35" s="40"/>
      <c r="G35" s="27"/>
      <c r="H35" s="40"/>
      <c r="I35" s="40"/>
      <c r="J35" s="40"/>
      <c r="K35" s="40"/>
      <c r="L35" s="186"/>
      <c r="M35" s="183"/>
      <c r="N35" s="184"/>
      <c r="O35" s="184"/>
      <c r="P35" s="184"/>
      <c r="Q35" s="184"/>
      <c r="R35" s="185"/>
      <c r="S35" s="161"/>
      <c r="T35" s="164"/>
      <c r="U35" s="165"/>
      <c r="V35" s="167"/>
      <c r="W35" s="179"/>
      <c r="Z35" s="1"/>
    </row>
    <row r="36" spans="1:27" ht="51.95" customHeight="1">
      <c r="A36" s="84">
        <v>29</v>
      </c>
      <c r="B36" s="27" t="s">
        <v>36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2">
        <v>4</v>
      </c>
      <c r="M36" s="384"/>
      <c r="N36" s="385"/>
      <c r="O36" s="385"/>
      <c r="P36" s="385"/>
      <c r="Q36" s="385"/>
      <c r="R36" s="386"/>
      <c r="S36" s="160"/>
      <c r="T36" s="162"/>
      <c r="U36" s="163"/>
      <c r="V36" s="166"/>
      <c r="W36" s="16"/>
      <c r="Z36" s="1"/>
    </row>
    <row r="37" spans="1:27" ht="51.95" customHeight="1">
      <c r="A37" s="84">
        <v>30</v>
      </c>
      <c r="B37" s="27" t="s">
        <v>93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153"/>
      <c r="M37" s="387"/>
      <c r="N37" s="388"/>
      <c r="O37" s="388"/>
      <c r="P37" s="388"/>
      <c r="Q37" s="388"/>
      <c r="R37" s="389"/>
      <c r="S37" s="161"/>
      <c r="T37" s="164"/>
      <c r="U37" s="165"/>
      <c r="V37" s="167"/>
      <c r="W37" s="16"/>
      <c r="Z37" s="1"/>
    </row>
    <row r="38" spans="1:27" ht="51.95" customHeight="1">
      <c r="A38" s="84">
        <v>31</v>
      </c>
      <c r="B38" s="27" t="s">
        <v>46</v>
      </c>
      <c r="C38" s="40">
        <v>1</v>
      </c>
      <c r="D38" s="40">
        <v>1</v>
      </c>
      <c r="E38" s="40"/>
      <c r="F38" s="40"/>
      <c r="G38" s="27"/>
      <c r="H38" s="40"/>
      <c r="I38" s="40"/>
      <c r="J38" s="40"/>
      <c r="K38" s="4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79</v>
      </c>
      <c r="D39" s="61">
        <f>SUM(D7:D38)</f>
        <v>57</v>
      </c>
      <c r="E39" s="61">
        <f>SUM(E7:E38)</f>
        <v>22</v>
      </c>
      <c r="F39" s="151" t="s">
        <v>9</v>
      </c>
      <c r="G39" s="151"/>
      <c r="H39" s="64">
        <f>SUM(H7:H38)</f>
        <v>75</v>
      </c>
      <c r="I39" s="64">
        <f>SUM(I7:I38)</f>
        <v>56</v>
      </c>
      <c r="J39" s="64">
        <f>SUM(J7:J38)</f>
        <v>16</v>
      </c>
      <c r="K39" s="64">
        <f>SUM(K7:K38)</f>
        <v>3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49.5" customHeight="1">
      <c r="A40" s="456" t="s">
        <v>81</v>
      </c>
      <c r="B40" s="457"/>
      <c r="C40" s="457"/>
      <c r="D40" s="457"/>
      <c r="E40" s="457"/>
      <c r="F40" s="457"/>
      <c r="G40" s="457"/>
      <c r="H40" s="457"/>
      <c r="I40" s="457"/>
      <c r="J40" s="457"/>
      <c r="K40" s="457"/>
      <c r="L40" s="457"/>
      <c r="M40" s="457"/>
      <c r="N40" s="457"/>
      <c r="O40" s="132" t="s">
        <v>33</v>
      </c>
      <c r="P40" s="132"/>
      <c r="Q40" s="132"/>
      <c r="R40" s="132"/>
      <c r="S40" s="132"/>
      <c r="T40" s="132"/>
      <c r="U40" s="132"/>
      <c r="V40" s="133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16.25" customHeight="1">
      <c r="A42" s="85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0</v>
      </c>
      <c r="I42" s="136"/>
      <c r="J42" s="135"/>
      <c r="K42" s="134">
        <v>99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80">
        <f>K42+H42</f>
        <v>99</v>
      </c>
      <c r="Y42" s="8"/>
    </row>
    <row r="43" spans="1:27" ht="108" customHeight="1">
      <c r="A43" s="85">
        <v>2</v>
      </c>
      <c r="B43" s="74" t="s">
        <v>136</v>
      </c>
      <c r="C43" s="117"/>
      <c r="D43" s="118"/>
      <c r="E43" s="109">
        <f>2527+29</f>
        <v>2556</v>
      </c>
      <c r="F43" s="111"/>
      <c r="G43" s="110"/>
      <c r="H43" s="134">
        <v>0</v>
      </c>
      <c r="I43" s="136"/>
      <c r="J43" s="135"/>
      <c r="K43" s="134">
        <v>683</v>
      </c>
      <c r="L43" s="136"/>
      <c r="M43" s="136"/>
      <c r="N43" s="135"/>
      <c r="O43" s="129"/>
      <c r="P43" s="130"/>
      <c r="Q43" s="130"/>
      <c r="R43" s="131"/>
      <c r="S43" s="56"/>
      <c r="T43" s="56"/>
      <c r="U43" s="57"/>
      <c r="V43" s="58"/>
      <c r="W43" s="80">
        <f t="shared" ref="W43:W50" si="2">K43+H43</f>
        <v>683</v>
      </c>
      <c r="X43" s="2"/>
      <c r="Y43" s="7"/>
      <c r="Z43" s="7"/>
      <c r="AA43" s="9"/>
    </row>
    <row r="44" spans="1:27" ht="90.75" customHeight="1">
      <c r="A44" s="85">
        <v>3</v>
      </c>
      <c r="B44" s="74" t="s">
        <v>80</v>
      </c>
      <c r="C44" s="122"/>
      <c r="D44" s="123"/>
      <c r="E44" s="109">
        <v>140000</v>
      </c>
      <c r="F44" s="111"/>
      <c r="G44" s="110"/>
      <c r="H44" s="109">
        <v>3770</v>
      </c>
      <c r="I44" s="111"/>
      <c r="J44" s="110"/>
      <c r="K44" s="109">
        <v>131316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135086</v>
      </c>
      <c r="X44" s="2"/>
      <c r="Y44" s="7"/>
      <c r="Z44" s="7"/>
      <c r="AA44" s="9"/>
    </row>
    <row r="45" spans="1:27" ht="65.099999999999994" customHeight="1">
      <c r="A45" s="85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>
        <v>0</v>
      </c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85">
        <v>5</v>
      </c>
      <c r="B46" s="74" t="s">
        <v>114</v>
      </c>
      <c r="C46" s="122">
        <v>11</v>
      </c>
      <c r="D46" s="123"/>
      <c r="E46" s="109">
        <v>1250</v>
      </c>
      <c r="F46" s="111"/>
      <c r="G46" s="110"/>
      <c r="H46" s="109">
        <v>11</v>
      </c>
      <c r="I46" s="111"/>
      <c r="J46" s="110"/>
      <c r="K46" s="109">
        <v>1250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1261</v>
      </c>
      <c r="X46" s="2"/>
      <c r="Y46" s="7"/>
      <c r="Z46" s="7"/>
      <c r="AA46" s="9"/>
    </row>
    <row r="47" spans="1:27" ht="65.099999999999994" customHeight="1">
      <c r="A47" s="85">
        <v>6</v>
      </c>
      <c r="B47" s="74" t="s">
        <v>115</v>
      </c>
      <c r="C47" s="122">
        <v>40</v>
      </c>
      <c r="D47" s="123"/>
      <c r="E47" s="109">
        <v>7556</v>
      </c>
      <c r="F47" s="111"/>
      <c r="G47" s="110"/>
      <c r="H47" s="109">
        <v>40</v>
      </c>
      <c r="I47" s="111"/>
      <c r="J47" s="110"/>
      <c r="K47" s="109">
        <v>7556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7596</v>
      </c>
      <c r="X47" s="2"/>
      <c r="Y47" s="7"/>
      <c r="Z47" s="7"/>
      <c r="AA47" s="9"/>
    </row>
    <row r="48" spans="1:27" ht="65.099999999999994" customHeight="1">
      <c r="A48" s="85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85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85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65.2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63.7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 t="s">
        <v>67</v>
      </c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8.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452"/>
      <c r="P57" s="452"/>
      <c r="Q57" s="452"/>
      <c r="R57" s="452"/>
      <c r="S57" s="452"/>
      <c r="T57" s="452"/>
      <c r="U57" s="452"/>
      <c r="V57" s="453"/>
    </row>
    <row r="58" spans="1:27" ht="86.2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454"/>
      <c r="P58" s="454"/>
      <c r="Q58" s="454"/>
      <c r="R58" s="454"/>
      <c r="S58" s="454"/>
      <c r="T58" s="454"/>
      <c r="U58" s="454"/>
      <c r="V58" s="455"/>
    </row>
    <row r="61" spans="1:27">
      <c r="S61" s="28"/>
      <c r="T61" s="28"/>
      <c r="U61" s="28"/>
    </row>
    <row r="62" spans="1:27">
      <c r="G62" s="88"/>
      <c r="H62" s="89"/>
      <c r="I62" s="89"/>
      <c r="J62" s="89"/>
      <c r="S62" s="28"/>
      <c r="T62" s="28"/>
      <c r="U62" s="29"/>
    </row>
    <row r="63" spans="1:27">
      <c r="G63" s="88"/>
      <c r="H63" s="89"/>
      <c r="I63" s="89"/>
      <c r="J63" s="89"/>
      <c r="S63" s="28"/>
      <c r="T63" s="28"/>
      <c r="U63" s="30"/>
    </row>
    <row r="64" spans="1:27">
      <c r="G64" s="88"/>
      <c r="H64" s="89"/>
      <c r="I64" s="89"/>
      <c r="J64" s="89"/>
      <c r="S64" s="28"/>
      <c r="T64" s="28"/>
      <c r="U64" s="28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>
      <c r="G67" s="88"/>
      <c r="H67" s="89"/>
      <c r="I67" s="89"/>
      <c r="J67" s="89"/>
    </row>
    <row r="68" spans="1:31">
      <c r="G68" s="88"/>
      <c r="H68" s="89"/>
      <c r="I68" s="89"/>
      <c r="J68" s="89"/>
    </row>
    <row r="69" spans="1:31">
      <c r="G69" s="88"/>
      <c r="H69" s="89"/>
      <c r="I69" s="89"/>
      <c r="J69" s="89"/>
    </row>
    <row r="70" spans="1:31">
      <c r="G70" s="88"/>
      <c r="H70" s="89"/>
      <c r="I70" s="89"/>
      <c r="J70" s="89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88"/>
      <c r="H75" s="89"/>
      <c r="I75" s="89"/>
      <c r="J75" s="89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88"/>
      <c r="H76" s="89"/>
      <c r="I76" s="89"/>
      <c r="J76" s="89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88"/>
      <c r="H77" s="89"/>
      <c r="I77" s="89"/>
      <c r="J77" s="89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88"/>
      <c r="H78" s="89"/>
      <c r="I78" s="89"/>
      <c r="J78" s="89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1">
    <mergeCell ref="A1:E4"/>
    <mergeCell ref="F1:Q1"/>
    <mergeCell ref="F2:Q2"/>
    <mergeCell ref="F3:Q3"/>
    <mergeCell ref="F4:Q4"/>
    <mergeCell ref="R4:S4"/>
    <mergeCell ref="T4:U4"/>
    <mergeCell ref="R1:R3"/>
    <mergeCell ref="S1:T3"/>
    <mergeCell ref="U1:V3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W18:W19"/>
    <mergeCell ref="M20:R24"/>
    <mergeCell ref="S20:S24"/>
    <mergeCell ref="T20:U24"/>
    <mergeCell ref="V20:V24"/>
    <mergeCell ref="W20:W24"/>
    <mergeCell ref="M25:R29"/>
    <mergeCell ref="S25:S29"/>
    <mergeCell ref="L20:L24"/>
    <mergeCell ref="L25:L29"/>
    <mergeCell ref="T25:U29"/>
    <mergeCell ref="V25:V29"/>
    <mergeCell ref="W25:W29"/>
    <mergeCell ref="L30:V30"/>
    <mergeCell ref="M31:R31"/>
    <mergeCell ref="W31:W35"/>
    <mergeCell ref="L32:L33"/>
    <mergeCell ref="M32:R33"/>
    <mergeCell ref="S32:S33"/>
    <mergeCell ref="T32:U33"/>
    <mergeCell ref="L36:L37"/>
    <mergeCell ref="M36:R37"/>
    <mergeCell ref="S36:S37"/>
    <mergeCell ref="T36:U37"/>
    <mergeCell ref="V36:V37"/>
    <mergeCell ref="M38:R38"/>
    <mergeCell ref="V32:V33"/>
    <mergeCell ref="L34:L35"/>
    <mergeCell ref="M34:R35"/>
    <mergeCell ref="S34:S35"/>
    <mergeCell ref="T34:U35"/>
    <mergeCell ref="V34:V35"/>
    <mergeCell ref="A39:B39"/>
    <mergeCell ref="F39:G39"/>
    <mergeCell ref="M39:R39"/>
    <mergeCell ref="A40:N40"/>
    <mergeCell ref="O40:V40"/>
    <mergeCell ref="C41:D41"/>
    <mergeCell ref="E41:G41"/>
    <mergeCell ref="H41:J41"/>
    <mergeCell ref="K41:N41"/>
    <mergeCell ref="O41:R41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9:D49"/>
    <mergeCell ref="E49:G49"/>
    <mergeCell ref="H49:J49"/>
    <mergeCell ref="K49:N49"/>
    <mergeCell ref="O49:V49"/>
    <mergeCell ref="A52:V52"/>
    <mergeCell ref="A53:N53"/>
    <mergeCell ref="O53:V53"/>
    <mergeCell ref="A54:N58"/>
    <mergeCell ref="O54:V58"/>
    <mergeCell ref="C50:D50"/>
    <mergeCell ref="E50:G50"/>
    <mergeCell ref="H50:J50"/>
    <mergeCell ref="K50:N50"/>
    <mergeCell ref="O50:V50"/>
    <mergeCell ref="A51:V51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E07B-69BC-4F23-BE8F-6D27326E040E}">
  <sheetPr>
    <pageSetUpPr fitToPage="1"/>
  </sheetPr>
  <dimension ref="A1:AH111"/>
  <sheetViews>
    <sheetView rightToLeft="1" view="pageBreakPreview" topLeftCell="A22" zoomScale="40" zoomScaleNormal="110" zoomScaleSheetLayoutView="40" workbookViewId="0">
      <selection activeCell="M25" sqref="M25:R29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60" t="s">
        <v>145</v>
      </c>
      <c r="S1" s="297" t="s">
        <v>234</v>
      </c>
      <c r="T1" s="297"/>
      <c r="U1" s="462" t="s">
        <v>227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61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61"/>
      <c r="S3" s="299"/>
      <c r="T3" s="299"/>
      <c r="U3" s="464"/>
      <c r="V3" s="465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228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229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224165</v>
      </c>
      <c r="W11" s="236">
        <f>V11+T11</f>
        <v>224165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1</v>
      </c>
      <c r="E15" s="40">
        <v>2</v>
      </c>
      <c r="F15" s="40">
        <v>9</v>
      </c>
      <c r="G15" s="24" t="s">
        <v>69</v>
      </c>
      <c r="H15" s="40">
        <v>2</v>
      </c>
      <c r="I15" s="40">
        <v>1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3</v>
      </c>
      <c r="I16" s="152">
        <v>3</v>
      </c>
      <c r="J16" s="152"/>
      <c r="K16" s="152"/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7">
        <v>1860</v>
      </c>
      <c r="U16" s="368"/>
      <c r="V16" s="445">
        <v>48886</v>
      </c>
      <c r="W16" s="47">
        <f>V16+T16</f>
        <v>50746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71"/>
      <c r="U17" s="372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75" t="s">
        <v>232</v>
      </c>
      <c r="N18" s="476"/>
      <c r="O18" s="476"/>
      <c r="P18" s="476"/>
      <c r="Q18" s="476"/>
      <c r="R18" s="477"/>
      <c r="S18" s="160" t="s">
        <v>85</v>
      </c>
      <c r="T18" s="367">
        <v>1860</v>
      </c>
      <c r="U18" s="368"/>
      <c r="V18" s="445">
        <v>104006</v>
      </c>
      <c r="W18" s="178">
        <f>V18+T18</f>
        <v>105866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5</v>
      </c>
      <c r="J19" s="40"/>
      <c r="K19" s="40"/>
      <c r="L19" s="186"/>
      <c r="M19" s="478"/>
      <c r="N19" s="479"/>
      <c r="O19" s="479"/>
      <c r="P19" s="479"/>
      <c r="Q19" s="479"/>
      <c r="R19" s="480"/>
      <c r="S19" s="161"/>
      <c r="T19" s="371"/>
      <c r="U19" s="372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230</v>
      </c>
      <c r="N20" s="213"/>
      <c r="O20" s="213"/>
      <c r="P20" s="213"/>
      <c r="Q20" s="213"/>
      <c r="R20" s="214"/>
      <c r="S20" s="442" t="s">
        <v>85</v>
      </c>
      <c r="T20" s="367">
        <v>409</v>
      </c>
      <c r="U20" s="368"/>
      <c r="V20" s="445">
        <v>41268</v>
      </c>
      <c r="W20" s="178">
        <f>V20+T20</f>
        <v>41677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31" t="s">
        <v>225</v>
      </c>
      <c r="C23" s="40">
        <v>1</v>
      </c>
      <c r="D23" s="40">
        <v>1</v>
      </c>
      <c r="E23" s="40"/>
      <c r="F23" s="40"/>
      <c r="G23" s="27" t="s">
        <v>7</v>
      </c>
      <c r="H23" s="40">
        <v>3</v>
      </c>
      <c r="I23" s="40">
        <v>3</v>
      </c>
      <c r="J23" s="40"/>
      <c r="K23" s="40"/>
      <c r="L23" s="187"/>
      <c r="M23" s="215"/>
      <c r="N23" s="216"/>
      <c r="O23" s="216"/>
      <c r="P23" s="216"/>
      <c r="Q23" s="216"/>
      <c r="R23" s="217"/>
      <c r="S23" s="443"/>
      <c r="T23" s="369"/>
      <c r="U23" s="370"/>
      <c r="V23" s="446"/>
      <c r="W23" s="178"/>
      <c r="Z23" s="1"/>
    </row>
    <row r="24" spans="1:27" ht="70.5" customHeight="1">
      <c r="A24" s="84">
        <v>17</v>
      </c>
      <c r="B24" s="27" t="s">
        <v>8</v>
      </c>
      <c r="C24" s="59">
        <v>13</v>
      </c>
      <c r="D24" s="40">
        <v>13</v>
      </c>
      <c r="E24" s="40"/>
      <c r="F24" s="40">
        <v>16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215"/>
      <c r="N24" s="216"/>
      <c r="O24" s="216"/>
      <c r="P24" s="216"/>
      <c r="Q24" s="216"/>
      <c r="R24" s="217"/>
      <c r="S24" s="444"/>
      <c r="T24" s="371"/>
      <c r="U24" s="372"/>
      <c r="V24" s="447"/>
      <c r="W24" s="178"/>
      <c r="Z24" s="1"/>
    </row>
    <row r="25" spans="1:27" ht="51.95" customHeight="1">
      <c r="A25" s="84">
        <v>18</v>
      </c>
      <c r="B25" s="27" t="s">
        <v>63</v>
      </c>
      <c r="C25" s="59">
        <v>10</v>
      </c>
      <c r="D25" s="40">
        <v>10</v>
      </c>
      <c r="E25" s="40"/>
      <c r="F25" s="40">
        <v>17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6" t="s">
        <v>233</v>
      </c>
      <c r="N25" s="467"/>
      <c r="O25" s="467"/>
      <c r="P25" s="467"/>
      <c r="Q25" s="467"/>
      <c r="R25" s="468"/>
      <c r="S25" s="442" t="s">
        <v>85</v>
      </c>
      <c r="T25" s="360">
        <v>694</v>
      </c>
      <c r="U25" s="361"/>
      <c r="V25" s="445">
        <v>33133</v>
      </c>
      <c r="W25" s="209">
        <f>V25+T25</f>
        <v>33827</v>
      </c>
      <c r="Z25" s="1"/>
    </row>
    <row r="26" spans="1:27" ht="51.95" customHeight="1">
      <c r="A26" s="84">
        <v>19</v>
      </c>
      <c r="B26" s="27" t="s">
        <v>17</v>
      </c>
      <c r="C26" s="40">
        <v>5</v>
      </c>
      <c r="D26" s="40">
        <v>4</v>
      </c>
      <c r="E26" s="40">
        <v>1</v>
      </c>
      <c r="F26" s="40">
        <v>18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51.95" customHeight="1">
      <c r="A27" s="84">
        <v>20</v>
      </c>
      <c r="B27" s="27" t="s">
        <v>43</v>
      </c>
      <c r="C27" s="40">
        <v>1</v>
      </c>
      <c r="D27" s="40">
        <v>1</v>
      </c>
      <c r="E27" s="40"/>
      <c r="F27" s="40">
        <v>19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51.95" customHeight="1">
      <c r="A28" s="84">
        <v>21</v>
      </c>
      <c r="B28" s="27" t="s">
        <v>45</v>
      </c>
      <c r="C28" s="40">
        <v>2</v>
      </c>
      <c r="D28" s="40"/>
      <c r="E28" s="40">
        <v>2</v>
      </c>
      <c r="F28" s="40">
        <v>20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51.95" customHeight="1">
      <c r="A29" s="84">
        <v>22</v>
      </c>
      <c r="B29" s="27" t="s">
        <v>58</v>
      </c>
      <c r="C29" s="40">
        <v>1</v>
      </c>
      <c r="D29" s="40">
        <v>1</v>
      </c>
      <c r="E29" s="40"/>
      <c r="F29" s="40">
        <v>21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101</v>
      </c>
      <c r="C30" s="40">
        <v>1</v>
      </c>
      <c r="D30" s="40"/>
      <c r="E30" s="40">
        <v>1</v>
      </c>
      <c r="F30" s="40">
        <v>22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44</v>
      </c>
      <c r="C31" s="40">
        <v>2</v>
      </c>
      <c r="D31" s="40">
        <v>2</v>
      </c>
      <c r="E31" s="40"/>
      <c r="F31" s="40">
        <v>23</v>
      </c>
      <c r="G31" s="27" t="s">
        <v>97</v>
      </c>
      <c r="H31" s="40">
        <v>2</v>
      </c>
      <c r="I31" s="40"/>
      <c r="J31" s="40">
        <v>2</v>
      </c>
      <c r="K31" s="40"/>
      <c r="L31" s="40">
        <v>1</v>
      </c>
      <c r="M31" s="171" t="s">
        <v>211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103</v>
      </c>
      <c r="C32" s="40">
        <v>1</v>
      </c>
      <c r="D32" s="40"/>
      <c r="E32" s="40">
        <v>1</v>
      </c>
      <c r="F32" s="40">
        <v>24</v>
      </c>
      <c r="G32" s="86" t="s">
        <v>220</v>
      </c>
      <c r="H32" s="40">
        <v>1</v>
      </c>
      <c r="I32" s="40"/>
      <c r="J32" s="40">
        <v>1</v>
      </c>
      <c r="K32" s="40"/>
      <c r="L32" s="152">
        <v>2</v>
      </c>
      <c r="M32" s="180" t="s">
        <v>219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60</v>
      </c>
      <c r="C33" s="40">
        <v>3</v>
      </c>
      <c r="D33" s="40">
        <v>2</v>
      </c>
      <c r="E33" s="40">
        <v>1</v>
      </c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65</v>
      </c>
      <c r="C34" s="40">
        <v>3</v>
      </c>
      <c r="D34" s="40">
        <v>1</v>
      </c>
      <c r="E34" s="40">
        <v>2</v>
      </c>
      <c r="F34" s="40"/>
      <c r="G34" s="27"/>
      <c r="H34" s="40"/>
      <c r="I34" s="40"/>
      <c r="J34" s="40"/>
      <c r="K34" s="40"/>
      <c r="L34" s="186">
        <v>3</v>
      </c>
      <c r="M34" s="180"/>
      <c r="N34" s="181"/>
      <c r="O34" s="181"/>
      <c r="P34" s="181"/>
      <c r="Q34" s="181"/>
      <c r="R34" s="182"/>
      <c r="S34" s="160"/>
      <c r="T34" s="162"/>
      <c r="U34" s="163"/>
      <c r="V34" s="166"/>
      <c r="W34" s="179"/>
      <c r="Z34" s="1"/>
    </row>
    <row r="35" spans="1:27" ht="51.95" customHeight="1">
      <c r="A35" s="84">
        <v>28</v>
      </c>
      <c r="B35" s="27" t="s">
        <v>62</v>
      </c>
      <c r="C35" s="40">
        <v>3</v>
      </c>
      <c r="D35" s="40">
        <v>3</v>
      </c>
      <c r="E35" s="40"/>
      <c r="F35" s="40"/>
      <c r="G35" s="27"/>
      <c r="H35" s="40"/>
      <c r="I35" s="40"/>
      <c r="J35" s="40"/>
      <c r="K35" s="40"/>
      <c r="L35" s="186"/>
      <c r="M35" s="183"/>
      <c r="N35" s="184"/>
      <c r="O35" s="184"/>
      <c r="P35" s="184"/>
      <c r="Q35" s="184"/>
      <c r="R35" s="185"/>
      <c r="S35" s="161"/>
      <c r="T35" s="164"/>
      <c r="U35" s="165"/>
      <c r="V35" s="167"/>
      <c r="W35" s="179"/>
      <c r="Z35" s="1"/>
    </row>
    <row r="36" spans="1:27" ht="51.95" customHeight="1">
      <c r="A36" s="84">
        <v>29</v>
      </c>
      <c r="B36" s="27" t="s">
        <v>36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2">
        <v>4</v>
      </c>
      <c r="M36" s="384"/>
      <c r="N36" s="385"/>
      <c r="O36" s="385"/>
      <c r="P36" s="385"/>
      <c r="Q36" s="385"/>
      <c r="R36" s="386"/>
      <c r="S36" s="160"/>
      <c r="T36" s="162"/>
      <c r="U36" s="163"/>
      <c r="V36" s="166"/>
      <c r="W36" s="16"/>
      <c r="Z36" s="1"/>
    </row>
    <row r="37" spans="1:27" ht="51.95" customHeight="1">
      <c r="A37" s="84">
        <v>30</v>
      </c>
      <c r="B37" s="27" t="s">
        <v>93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153"/>
      <c r="M37" s="387"/>
      <c r="N37" s="388"/>
      <c r="O37" s="388"/>
      <c r="P37" s="388"/>
      <c r="Q37" s="388"/>
      <c r="R37" s="389"/>
      <c r="S37" s="161"/>
      <c r="T37" s="164"/>
      <c r="U37" s="165"/>
      <c r="V37" s="167"/>
      <c r="W37" s="16"/>
      <c r="Z37" s="1"/>
    </row>
    <row r="38" spans="1:27" ht="51.95" customHeight="1">
      <c r="A38" s="84">
        <v>31</v>
      </c>
      <c r="B38" s="27" t="s">
        <v>46</v>
      </c>
      <c r="C38" s="40">
        <v>1</v>
      </c>
      <c r="D38" s="40">
        <v>1</v>
      </c>
      <c r="E38" s="40"/>
      <c r="F38" s="40"/>
      <c r="G38" s="27"/>
      <c r="H38" s="40"/>
      <c r="I38" s="40"/>
      <c r="J38" s="40"/>
      <c r="K38" s="4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70</v>
      </c>
      <c r="D39" s="61">
        <f>SUM(D7:D38)</f>
        <v>56</v>
      </c>
      <c r="E39" s="61">
        <f>SUM(E7:E38)</f>
        <v>14</v>
      </c>
      <c r="F39" s="151" t="s">
        <v>9</v>
      </c>
      <c r="G39" s="151"/>
      <c r="H39" s="64">
        <f>SUM(H7:H38)</f>
        <v>74</v>
      </c>
      <c r="I39" s="64">
        <f>SUM(I7:I38)</f>
        <v>66</v>
      </c>
      <c r="J39" s="64">
        <f>SUM(J7:J38)</f>
        <v>5</v>
      </c>
      <c r="K39" s="64">
        <f>SUM(K7:K38)</f>
        <v>3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49.5" customHeight="1">
      <c r="A40" s="456" t="s">
        <v>81</v>
      </c>
      <c r="B40" s="457"/>
      <c r="C40" s="457"/>
      <c r="D40" s="457"/>
      <c r="E40" s="457"/>
      <c r="F40" s="457"/>
      <c r="G40" s="457"/>
      <c r="H40" s="457"/>
      <c r="I40" s="457"/>
      <c r="J40" s="457"/>
      <c r="K40" s="457"/>
      <c r="L40" s="457"/>
      <c r="M40" s="457"/>
      <c r="N40" s="457"/>
      <c r="O40" s="132" t="s">
        <v>33</v>
      </c>
      <c r="P40" s="132"/>
      <c r="Q40" s="132"/>
      <c r="R40" s="132"/>
      <c r="S40" s="132"/>
      <c r="T40" s="132"/>
      <c r="U40" s="132"/>
      <c r="V40" s="133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16.25" customHeight="1">
      <c r="A42" s="85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0</v>
      </c>
      <c r="I42" s="136"/>
      <c r="J42" s="135"/>
      <c r="K42" s="134">
        <v>99</v>
      </c>
      <c r="L42" s="136"/>
      <c r="M42" s="136"/>
      <c r="N42" s="135"/>
      <c r="O42" s="137"/>
      <c r="P42" s="138"/>
      <c r="Q42" s="138"/>
      <c r="R42" s="139"/>
      <c r="S42" s="56"/>
      <c r="T42" s="56"/>
      <c r="U42" s="57"/>
      <c r="V42" s="58"/>
      <c r="W42" s="80">
        <f>K42+H42</f>
        <v>99</v>
      </c>
      <c r="Y42" s="8"/>
    </row>
    <row r="43" spans="1:27" ht="108" customHeight="1">
      <c r="A43" s="85">
        <v>2</v>
      </c>
      <c r="B43" s="74" t="s">
        <v>136</v>
      </c>
      <c r="C43" s="117"/>
      <c r="D43" s="118"/>
      <c r="E43" s="109">
        <f>2527+29</f>
        <v>2556</v>
      </c>
      <c r="F43" s="111"/>
      <c r="G43" s="110"/>
      <c r="H43" s="134">
        <v>0</v>
      </c>
      <c r="I43" s="136"/>
      <c r="J43" s="135"/>
      <c r="K43" s="134">
        <v>683</v>
      </c>
      <c r="L43" s="136"/>
      <c r="M43" s="136"/>
      <c r="N43" s="135"/>
      <c r="O43" s="129"/>
      <c r="P43" s="130"/>
      <c r="Q43" s="130"/>
      <c r="R43" s="131"/>
      <c r="S43" s="56"/>
      <c r="T43" s="56"/>
      <c r="U43" s="57"/>
      <c r="V43" s="58"/>
      <c r="W43" s="80">
        <f t="shared" ref="W43:W50" si="2">K43+H43</f>
        <v>683</v>
      </c>
      <c r="X43" s="2"/>
      <c r="Y43" s="7"/>
      <c r="Z43" s="7"/>
      <c r="AA43" s="9"/>
    </row>
    <row r="44" spans="1:27" ht="90.75" customHeight="1">
      <c r="A44" s="85">
        <v>3</v>
      </c>
      <c r="B44" s="74" t="s">
        <v>80</v>
      </c>
      <c r="C44" s="122"/>
      <c r="D44" s="123"/>
      <c r="E44" s="109">
        <v>140000</v>
      </c>
      <c r="F44" s="111"/>
      <c r="G44" s="110"/>
      <c r="H44" s="109">
        <v>0</v>
      </c>
      <c r="I44" s="111"/>
      <c r="J44" s="110"/>
      <c r="K44" s="109">
        <v>131316</v>
      </c>
      <c r="L44" s="111"/>
      <c r="M44" s="111"/>
      <c r="N44" s="110"/>
      <c r="O44" s="129"/>
      <c r="P44" s="130"/>
      <c r="Q44" s="130"/>
      <c r="R44" s="131"/>
      <c r="S44" s="37"/>
      <c r="T44" s="26"/>
      <c r="U44" s="26"/>
      <c r="V44" s="38"/>
      <c r="W44" s="78">
        <f>K44+H44</f>
        <v>131316</v>
      </c>
      <c r="X44" s="2"/>
      <c r="Y44" s="7"/>
      <c r="Z44" s="7"/>
      <c r="AA44" s="9"/>
    </row>
    <row r="45" spans="1:27" ht="65.099999999999994" customHeight="1">
      <c r="A45" s="85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>
        <v>0</v>
      </c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85">
        <v>5</v>
      </c>
      <c r="B46" s="74" t="s">
        <v>114</v>
      </c>
      <c r="C46" s="122">
        <v>11</v>
      </c>
      <c r="D46" s="123"/>
      <c r="E46" s="109">
        <v>1261</v>
      </c>
      <c r="F46" s="111"/>
      <c r="G46" s="110"/>
      <c r="H46" s="109">
        <v>11</v>
      </c>
      <c r="I46" s="111"/>
      <c r="J46" s="110"/>
      <c r="K46" s="109">
        <v>1261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1272</v>
      </c>
      <c r="X46" s="2"/>
      <c r="Y46" s="7"/>
      <c r="Z46" s="7"/>
      <c r="AA46" s="9"/>
    </row>
    <row r="47" spans="1:27" ht="65.099999999999994" customHeight="1">
      <c r="A47" s="85">
        <v>6</v>
      </c>
      <c r="B47" s="74" t="s">
        <v>115</v>
      </c>
      <c r="C47" s="122">
        <v>58</v>
      </c>
      <c r="D47" s="123"/>
      <c r="E47" s="109">
        <v>7614</v>
      </c>
      <c r="F47" s="111"/>
      <c r="G47" s="110"/>
      <c r="H47" s="109">
        <v>58</v>
      </c>
      <c r="I47" s="111"/>
      <c r="J47" s="110"/>
      <c r="K47" s="109">
        <v>7614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7672</v>
      </c>
      <c r="X47" s="2"/>
      <c r="Y47" s="7"/>
      <c r="Z47" s="7"/>
      <c r="AA47" s="9"/>
    </row>
    <row r="48" spans="1:27" ht="65.099999999999994" customHeight="1">
      <c r="A48" s="85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85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85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65.2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63.7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 t="s">
        <v>67</v>
      </c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8.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452"/>
      <c r="P57" s="452"/>
      <c r="Q57" s="452"/>
      <c r="R57" s="452"/>
      <c r="S57" s="452"/>
      <c r="T57" s="452"/>
      <c r="U57" s="452"/>
      <c r="V57" s="453"/>
    </row>
    <row r="58" spans="1:27" ht="86.2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454"/>
      <c r="P58" s="454"/>
      <c r="Q58" s="454"/>
      <c r="R58" s="454"/>
      <c r="S58" s="454"/>
      <c r="T58" s="454"/>
      <c r="U58" s="454"/>
      <c r="V58" s="455"/>
    </row>
    <row r="61" spans="1:27">
      <c r="S61" s="28"/>
      <c r="T61" s="28"/>
      <c r="U61" s="28"/>
    </row>
    <row r="62" spans="1:27">
      <c r="G62" s="88"/>
      <c r="H62" s="89"/>
      <c r="I62" s="89"/>
      <c r="J62" s="89"/>
      <c r="S62" s="28"/>
      <c r="T62" s="28"/>
      <c r="U62" s="29"/>
    </row>
    <row r="63" spans="1:27">
      <c r="G63" s="88"/>
      <c r="H63" s="89"/>
      <c r="I63" s="89"/>
      <c r="J63" s="89"/>
      <c r="S63" s="28"/>
      <c r="T63" s="28"/>
      <c r="U63" s="30"/>
    </row>
    <row r="64" spans="1:27">
      <c r="G64" s="88"/>
      <c r="H64" s="89"/>
      <c r="I64" s="89"/>
      <c r="J64" s="89"/>
      <c r="S64" s="28"/>
      <c r="T64" s="28"/>
      <c r="U64" s="28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>
      <c r="G67" s="88"/>
      <c r="H67" s="89"/>
      <c r="I67" s="89"/>
      <c r="J67" s="89"/>
    </row>
    <row r="68" spans="1:31">
      <c r="G68" s="88"/>
      <c r="H68" s="89"/>
      <c r="I68" s="89"/>
      <c r="J68" s="89"/>
    </row>
    <row r="69" spans="1:31">
      <c r="G69" s="88"/>
      <c r="H69" s="89"/>
      <c r="I69" s="89"/>
      <c r="J69" s="89"/>
    </row>
    <row r="70" spans="1:31">
      <c r="G70" s="88"/>
      <c r="H70" s="89"/>
      <c r="I70" s="89"/>
      <c r="J70" s="89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88"/>
      <c r="H75" s="89"/>
      <c r="I75" s="89"/>
      <c r="J75" s="89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88"/>
      <c r="H76" s="89"/>
      <c r="I76" s="89"/>
      <c r="J76" s="89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88"/>
      <c r="H77" s="89"/>
      <c r="I77" s="89"/>
      <c r="J77" s="89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88"/>
      <c r="H78" s="89"/>
      <c r="I78" s="89"/>
      <c r="J78" s="89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1"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L25:L29"/>
    <mergeCell ref="M25:R29"/>
    <mergeCell ref="S25:S29"/>
    <mergeCell ref="T25:U29"/>
    <mergeCell ref="V25:V29"/>
    <mergeCell ref="W25:W29"/>
    <mergeCell ref="W18:W19"/>
    <mergeCell ref="L20:L24"/>
    <mergeCell ref="M20:R24"/>
    <mergeCell ref="S20:S24"/>
    <mergeCell ref="T20:U24"/>
    <mergeCell ref="V20:V24"/>
    <mergeCell ref="W20:W24"/>
    <mergeCell ref="L30:V30"/>
    <mergeCell ref="M31:R31"/>
    <mergeCell ref="W31:W35"/>
    <mergeCell ref="L32:L33"/>
    <mergeCell ref="M32:R33"/>
    <mergeCell ref="S32:S33"/>
    <mergeCell ref="T32:U33"/>
    <mergeCell ref="V32:V33"/>
    <mergeCell ref="L34:L35"/>
    <mergeCell ref="M34:R35"/>
    <mergeCell ref="M38:R38"/>
    <mergeCell ref="A39:B39"/>
    <mergeCell ref="F39:G39"/>
    <mergeCell ref="M39:R39"/>
    <mergeCell ref="A40:N40"/>
    <mergeCell ref="O40:V40"/>
    <mergeCell ref="S34:S35"/>
    <mergeCell ref="T34:U35"/>
    <mergeCell ref="V34:V35"/>
    <mergeCell ref="L36:L37"/>
    <mergeCell ref="M36:R37"/>
    <mergeCell ref="S36:S37"/>
    <mergeCell ref="T36:U37"/>
    <mergeCell ref="V36:V37"/>
    <mergeCell ref="C41:D41"/>
    <mergeCell ref="E41:G41"/>
    <mergeCell ref="H41:J41"/>
    <mergeCell ref="K41:N41"/>
    <mergeCell ref="O41:R41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A51:V51"/>
    <mergeCell ref="A52:V52"/>
    <mergeCell ref="A53:N53"/>
    <mergeCell ref="O53:V53"/>
    <mergeCell ref="A54:N58"/>
    <mergeCell ref="O54:V58"/>
    <mergeCell ref="C49:D49"/>
    <mergeCell ref="E49:G49"/>
    <mergeCell ref="H49:J49"/>
    <mergeCell ref="K49:N49"/>
    <mergeCell ref="O49:V49"/>
    <mergeCell ref="C50:D50"/>
    <mergeCell ref="E50:G50"/>
    <mergeCell ref="H50:J50"/>
    <mergeCell ref="K50:N50"/>
    <mergeCell ref="O50:V50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069F-D716-4FF4-9177-9AB7C3EF7B9E}">
  <sheetPr>
    <pageSetUpPr fitToPage="1"/>
  </sheetPr>
  <dimension ref="A1:AH111"/>
  <sheetViews>
    <sheetView rightToLeft="1" view="pageBreakPreview" topLeftCell="A19" zoomScale="40" zoomScaleNormal="110" zoomScaleSheetLayoutView="40" workbookViewId="0">
      <selection activeCell="M25" sqref="M25:R29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81" t="s">
        <v>151</v>
      </c>
      <c r="S1" s="297" t="s">
        <v>235</v>
      </c>
      <c r="T1" s="297"/>
      <c r="U1" s="462" t="s">
        <v>236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82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82"/>
      <c r="S3" s="299"/>
      <c r="T3" s="299"/>
      <c r="U3" s="464"/>
      <c r="V3" s="465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237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207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224165</v>
      </c>
      <c r="W11" s="236">
        <f>V11+T11</f>
        <v>224165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1</v>
      </c>
      <c r="E15" s="40">
        <v>2</v>
      </c>
      <c r="F15" s="40">
        <v>9</v>
      </c>
      <c r="G15" s="24" t="s">
        <v>69</v>
      </c>
      <c r="H15" s="40">
        <v>2</v>
      </c>
      <c r="I15" s="40">
        <v>1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3</v>
      </c>
      <c r="I16" s="152">
        <v>3</v>
      </c>
      <c r="J16" s="152"/>
      <c r="K16" s="152"/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7">
        <v>850</v>
      </c>
      <c r="U16" s="368"/>
      <c r="V16" s="445">
        <v>49736</v>
      </c>
      <c r="W16" s="47">
        <f>V16+T16</f>
        <v>50586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71"/>
      <c r="U17" s="372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75" t="s">
        <v>246</v>
      </c>
      <c r="N18" s="476"/>
      <c r="O18" s="476"/>
      <c r="P18" s="476"/>
      <c r="Q18" s="476"/>
      <c r="R18" s="477"/>
      <c r="S18" s="160" t="s">
        <v>85</v>
      </c>
      <c r="T18" s="367">
        <v>850</v>
      </c>
      <c r="U18" s="368"/>
      <c r="V18" s="445">
        <v>104856</v>
      </c>
      <c r="W18" s="178">
        <f>V18+T18</f>
        <v>105706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5</v>
      </c>
      <c r="J19" s="40"/>
      <c r="K19" s="40"/>
      <c r="L19" s="186"/>
      <c r="M19" s="478"/>
      <c r="N19" s="479"/>
      <c r="O19" s="479"/>
      <c r="P19" s="479"/>
      <c r="Q19" s="479"/>
      <c r="R19" s="480"/>
      <c r="S19" s="161"/>
      <c r="T19" s="371"/>
      <c r="U19" s="372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238</v>
      </c>
      <c r="N20" s="213"/>
      <c r="O20" s="213"/>
      <c r="P20" s="213"/>
      <c r="Q20" s="213"/>
      <c r="R20" s="214"/>
      <c r="S20" s="442" t="s">
        <v>85</v>
      </c>
      <c r="T20" s="367">
        <v>209</v>
      </c>
      <c r="U20" s="368"/>
      <c r="V20" s="445">
        <v>41477</v>
      </c>
      <c r="W20" s="178">
        <f>V20+T20</f>
        <v>41686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31" t="s">
        <v>225</v>
      </c>
      <c r="C23" s="40">
        <v>1</v>
      </c>
      <c r="D23" s="40">
        <v>1</v>
      </c>
      <c r="E23" s="40"/>
      <c r="F23" s="40"/>
      <c r="G23" s="27" t="s">
        <v>7</v>
      </c>
      <c r="H23" s="40">
        <v>3</v>
      </c>
      <c r="I23" s="40">
        <v>3</v>
      </c>
      <c r="J23" s="40"/>
      <c r="K23" s="40"/>
      <c r="L23" s="187"/>
      <c r="M23" s="215"/>
      <c r="N23" s="216"/>
      <c r="O23" s="216"/>
      <c r="P23" s="216"/>
      <c r="Q23" s="216"/>
      <c r="R23" s="217"/>
      <c r="S23" s="443"/>
      <c r="T23" s="369"/>
      <c r="U23" s="370"/>
      <c r="V23" s="446"/>
      <c r="W23" s="178"/>
      <c r="Z23" s="1"/>
    </row>
    <row r="24" spans="1:27" ht="70.5" customHeight="1">
      <c r="A24" s="84">
        <v>17</v>
      </c>
      <c r="B24" s="27" t="s">
        <v>8</v>
      </c>
      <c r="C24" s="59">
        <v>13</v>
      </c>
      <c r="D24" s="40">
        <v>13</v>
      </c>
      <c r="E24" s="40"/>
      <c r="F24" s="40">
        <v>16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215"/>
      <c r="N24" s="216"/>
      <c r="O24" s="216"/>
      <c r="P24" s="216"/>
      <c r="Q24" s="216"/>
      <c r="R24" s="217"/>
      <c r="S24" s="444"/>
      <c r="T24" s="371"/>
      <c r="U24" s="372"/>
      <c r="V24" s="447"/>
      <c r="W24" s="178"/>
      <c r="Z24" s="1"/>
    </row>
    <row r="25" spans="1:27" ht="51.95" customHeight="1">
      <c r="A25" s="84">
        <v>18</v>
      </c>
      <c r="B25" s="27" t="s">
        <v>63</v>
      </c>
      <c r="C25" s="59">
        <v>10</v>
      </c>
      <c r="D25" s="40">
        <v>10</v>
      </c>
      <c r="E25" s="40"/>
      <c r="F25" s="40">
        <v>17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6" t="s">
        <v>247</v>
      </c>
      <c r="N25" s="467"/>
      <c r="O25" s="467"/>
      <c r="P25" s="467"/>
      <c r="Q25" s="467"/>
      <c r="R25" s="468"/>
      <c r="S25" s="442" t="s">
        <v>85</v>
      </c>
      <c r="T25" s="360">
        <v>1183</v>
      </c>
      <c r="U25" s="361"/>
      <c r="V25" s="445">
        <v>34316</v>
      </c>
      <c r="W25" s="209">
        <f>V25+T25</f>
        <v>35499</v>
      </c>
      <c r="Z25" s="1"/>
    </row>
    <row r="26" spans="1:27" ht="51.95" customHeight="1">
      <c r="A26" s="84">
        <v>19</v>
      </c>
      <c r="B26" s="27" t="s">
        <v>17</v>
      </c>
      <c r="C26" s="40">
        <v>5</v>
      </c>
      <c r="D26" s="40">
        <v>4</v>
      </c>
      <c r="E26" s="40">
        <v>1</v>
      </c>
      <c r="F26" s="40">
        <v>18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51.95" customHeight="1">
      <c r="A27" s="84">
        <v>20</v>
      </c>
      <c r="B27" s="27" t="s">
        <v>43</v>
      </c>
      <c r="C27" s="40">
        <v>1</v>
      </c>
      <c r="D27" s="40">
        <v>1</v>
      </c>
      <c r="E27" s="40"/>
      <c r="F27" s="40">
        <v>19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51.95" customHeight="1">
      <c r="A28" s="84">
        <v>21</v>
      </c>
      <c r="B28" s="27" t="s">
        <v>45</v>
      </c>
      <c r="C28" s="40">
        <v>2</v>
      </c>
      <c r="D28" s="40"/>
      <c r="E28" s="40">
        <v>2</v>
      </c>
      <c r="F28" s="40">
        <v>20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51.95" customHeight="1">
      <c r="A29" s="84">
        <v>22</v>
      </c>
      <c r="B29" s="27" t="s">
        <v>58</v>
      </c>
      <c r="C29" s="40">
        <v>1</v>
      </c>
      <c r="D29" s="40">
        <v>1</v>
      </c>
      <c r="E29" s="40"/>
      <c r="F29" s="40">
        <v>21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101</v>
      </c>
      <c r="C30" s="40">
        <v>1</v>
      </c>
      <c r="D30" s="40"/>
      <c r="E30" s="40">
        <v>1</v>
      </c>
      <c r="F30" s="40">
        <v>22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44</v>
      </c>
      <c r="C31" s="40">
        <v>2</v>
      </c>
      <c r="D31" s="40">
        <v>2</v>
      </c>
      <c r="E31" s="40"/>
      <c r="F31" s="40">
        <v>23</v>
      </c>
      <c r="G31" s="27" t="s">
        <v>97</v>
      </c>
      <c r="H31" s="40">
        <v>2</v>
      </c>
      <c r="I31" s="40"/>
      <c r="J31" s="40">
        <v>2</v>
      </c>
      <c r="K31" s="40"/>
      <c r="L31" s="40">
        <v>1</v>
      </c>
      <c r="M31" s="171" t="s">
        <v>211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103</v>
      </c>
      <c r="C32" s="40">
        <v>1</v>
      </c>
      <c r="D32" s="40"/>
      <c r="E32" s="40">
        <v>1</v>
      </c>
      <c r="F32" s="40">
        <v>24</v>
      </c>
      <c r="G32" s="86" t="s">
        <v>220</v>
      </c>
      <c r="H32" s="40">
        <v>1</v>
      </c>
      <c r="I32" s="40"/>
      <c r="J32" s="40">
        <v>1</v>
      </c>
      <c r="K32" s="40"/>
      <c r="L32" s="152">
        <v>2</v>
      </c>
      <c r="M32" s="180" t="s">
        <v>219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60</v>
      </c>
      <c r="C33" s="40">
        <v>3</v>
      </c>
      <c r="D33" s="40">
        <v>2</v>
      </c>
      <c r="E33" s="40">
        <v>1</v>
      </c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65</v>
      </c>
      <c r="C34" s="40">
        <v>3</v>
      </c>
      <c r="D34" s="40">
        <v>1</v>
      </c>
      <c r="E34" s="40">
        <v>2</v>
      </c>
      <c r="F34" s="40"/>
      <c r="G34" s="27"/>
      <c r="H34" s="40"/>
      <c r="I34" s="40"/>
      <c r="J34" s="40"/>
      <c r="K34" s="40"/>
      <c r="L34" s="186">
        <v>3</v>
      </c>
      <c r="M34" s="180"/>
      <c r="N34" s="181"/>
      <c r="O34" s="181"/>
      <c r="P34" s="181"/>
      <c r="Q34" s="181"/>
      <c r="R34" s="182"/>
      <c r="S34" s="160"/>
      <c r="T34" s="162"/>
      <c r="U34" s="163"/>
      <c r="V34" s="166"/>
      <c r="W34" s="179"/>
      <c r="Z34" s="1"/>
    </row>
    <row r="35" spans="1:27" ht="51.95" customHeight="1">
      <c r="A35" s="84">
        <v>28</v>
      </c>
      <c r="B35" s="27" t="s">
        <v>62</v>
      </c>
      <c r="C35" s="40">
        <v>3</v>
      </c>
      <c r="D35" s="40">
        <v>3</v>
      </c>
      <c r="E35" s="40"/>
      <c r="F35" s="40"/>
      <c r="G35" s="27"/>
      <c r="H35" s="40"/>
      <c r="I35" s="40"/>
      <c r="J35" s="40"/>
      <c r="K35" s="40"/>
      <c r="L35" s="186"/>
      <c r="M35" s="183"/>
      <c r="N35" s="184"/>
      <c r="O35" s="184"/>
      <c r="P35" s="184"/>
      <c r="Q35" s="184"/>
      <c r="R35" s="185"/>
      <c r="S35" s="161"/>
      <c r="T35" s="164"/>
      <c r="U35" s="165"/>
      <c r="V35" s="167"/>
      <c r="W35" s="179"/>
      <c r="Z35" s="1"/>
    </row>
    <row r="36" spans="1:27" ht="51.95" customHeight="1">
      <c r="A36" s="84">
        <v>29</v>
      </c>
      <c r="B36" s="27" t="s">
        <v>36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2">
        <v>4</v>
      </c>
      <c r="M36" s="384"/>
      <c r="N36" s="385"/>
      <c r="O36" s="385"/>
      <c r="P36" s="385"/>
      <c r="Q36" s="385"/>
      <c r="R36" s="386"/>
      <c r="S36" s="160"/>
      <c r="T36" s="162"/>
      <c r="U36" s="163"/>
      <c r="V36" s="166"/>
      <c r="W36" s="16"/>
      <c r="Z36" s="1"/>
    </row>
    <row r="37" spans="1:27" ht="51.95" customHeight="1">
      <c r="A37" s="84">
        <v>30</v>
      </c>
      <c r="B37" s="27" t="s">
        <v>93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153"/>
      <c r="M37" s="387"/>
      <c r="N37" s="388"/>
      <c r="O37" s="388"/>
      <c r="P37" s="388"/>
      <c r="Q37" s="388"/>
      <c r="R37" s="389"/>
      <c r="S37" s="161"/>
      <c r="T37" s="164"/>
      <c r="U37" s="165"/>
      <c r="V37" s="167"/>
      <c r="W37" s="16"/>
      <c r="Z37" s="1"/>
    </row>
    <row r="38" spans="1:27" ht="51.95" customHeight="1">
      <c r="A38" s="84">
        <v>31</v>
      </c>
      <c r="B38" s="27" t="s">
        <v>46</v>
      </c>
      <c r="C38" s="40">
        <v>1</v>
      </c>
      <c r="D38" s="40">
        <v>1</v>
      </c>
      <c r="E38" s="40"/>
      <c r="F38" s="40"/>
      <c r="G38" s="27"/>
      <c r="H38" s="40"/>
      <c r="I38" s="40"/>
      <c r="J38" s="40"/>
      <c r="K38" s="4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70</v>
      </c>
      <c r="D39" s="61">
        <f>SUM(D7:D38)</f>
        <v>55</v>
      </c>
      <c r="E39" s="61">
        <f>SUM(E7:E38)</f>
        <v>15</v>
      </c>
      <c r="F39" s="151" t="s">
        <v>9</v>
      </c>
      <c r="G39" s="151"/>
      <c r="H39" s="64">
        <f>SUM(H7:H38)</f>
        <v>74</v>
      </c>
      <c r="I39" s="64">
        <f>SUM(I7:I38)</f>
        <v>66</v>
      </c>
      <c r="J39" s="64">
        <f>SUM(J7:J38)</f>
        <v>5</v>
      </c>
      <c r="K39" s="64">
        <f>SUM(K7:K38)</f>
        <v>3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49.5" customHeight="1">
      <c r="A40" s="456" t="s">
        <v>81</v>
      </c>
      <c r="B40" s="457"/>
      <c r="C40" s="457"/>
      <c r="D40" s="457"/>
      <c r="E40" s="457"/>
      <c r="F40" s="457"/>
      <c r="G40" s="457"/>
      <c r="H40" s="457"/>
      <c r="I40" s="457"/>
      <c r="J40" s="457"/>
      <c r="K40" s="457"/>
      <c r="L40" s="457"/>
      <c r="M40" s="457"/>
      <c r="N40" s="457"/>
      <c r="O40" s="132" t="s">
        <v>33</v>
      </c>
      <c r="P40" s="132"/>
      <c r="Q40" s="132"/>
      <c r="R40" s="132"/>
      <c r="S40" s="132"/>
      <c r="T40" s="132"/>
      <c r="U40" s="132"/>
      <c r="V40" s="133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16.25" customHeight="1">
      <c r="A42" s="85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0</v>
      </c>
      <c r="I42" s="136"/>
      <c r="J42" s="135"/>
      <c r="K42" s="134">
        <v>99</v>
      </c>
      <c r="L42" s="136"/>
      <c r="M42" s="136"/>
      <c r="N42" s="135"/>
      <c r="O42" s="140" t="s">
        <v>241</v>
      </c>
      <c r="P42" s="141"/>
      <c r="Q42" s="141"/>
      <c r="R42" s="142"/>
      <c r="S42" s="56" t="s">
        <v>88</v>
      </c>
      <c r="T42" s="56" t="s">
        <v>129</v>
      </c>
      <c r="U42" s="57" t="s">
        <v>240</v>
      </c>
      <c r="V42" s="58" t="s">
        <v>239</v>
      </c>
      <c r="W42" s="80">
        <f>K42+H42</f>
        <v>99</v>
      </c>
      <c r="Y42" s="8"/>
    </row>
    <row r="43" spans="1:27" ht="108" customHeight="1">
      <c r="A43" s="85">
        <v>2</v>
      </c>
      <c r="B43" s="74" t="s">
        <v>136</v>
      </c>
      <c r="C43" s="117"/>
      <c r="D43" s="118"/>
      <c r="E43" s="109">
        <f>2527+29</f>
        <v>2556</v>
      </c>
      <c r="F43" s="111"/>
      <c r="G43" s="110"/>
      <c r="H43" s="134">
        <v>0</v>
      </c>
      <c r="I43" s="136"/>
      <c r="J43" s="135"/>
      <c r="K43" s="134">
        <v>683</v>
      </c>
      <c r="L43" s="136"/>
      <c r="M43" s="136"/>
      <c r="N43" s="135"/>
      <c r="O43" s="140" t="s">
        <v>242</v>
      </c>
      <c r="P43" s="141"/>
      <c r="Q43" s="141"/>
      <c r="R43" s="142"/>
      <c r="S43" s="56" t="s">
        <v>129</v>
      </c>
      <c r="T43" s="56" t="s">
        <v>88</v>
      </c>
      <c r="U43" s="57" t="s">
        <v>243</v>
      </c>
      <c r="V43" s="58" t="s">
        <v>239</v>
      </c>
      <c r="W43" s="80">
        <f t="shared" ref="W43:W50" si="2">K43+H43</f>
        <v>683</v>
      </c>
      <c r="X43" s="2"/>
      <c r="Y43" s="7"/>
      <c r="Z43" s="7"/>
      <c r="AA43" s="9"/>
    </row>
    <row r="44" spans="1:27" ht="100.5" customHeight="1">
      <c r="A44" s="85">
        <v>3</v>
      </c>
      <c r="B44" s="74" t="s">
        <v>80</v>
      </c>
      <c r="C44" s="122"/>
      <c r="D44" s="123"/>
      <c r="E44" s="109">
        <v>140000</v>
      </c>
      <c r="F44" s="111"/>
      <c r="G44" s="110"/>
      <c r="H44" s="109">
        <v>2790</v>
      </c>
      <c r="I44" s="111"/>
      <c r="J44" s="110"/>
      <c r="K44" s="109">
        <v>134106</v>
      </c>
      <c r="L44" s="111"/>
      <c r="M44" s="111"/>
      <c r="N44" s="110"/>
      <c r="O44" s="483" t="s">
        <v>245</v>
      </c>
      <c r="P44" s="484"/>
      <c r="Q44" s="484"/>
      <c r="R44" s="485"/>
      <c r="S44" s="56" t="s">
        <v>88</v>
      </c>
      <c r="T44" s="56" t="s">
        <v>129</v>
      </c>
      <c r="U44" s="57" t="s">
        <v>244</v>
      </c>
      <c r="V44" s="58" t="s">
        <v>239</v>
      </c>
      <c r="W44" s="78">
        <f>K44+H44</f>
        <v>136896</v>
      </c>
      <c r="X44" s="2"/>
      <c r="Y44" s="7"/>
      <c r="Z44" s="7"/>
      <c r="AA44" s="9"/>
    </row>
    <row r="45" spans="1:27" ht="65.099999999999994" customHeight="1">
      <c r="A45" s="85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>
        <v>0</v>
      </c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85">
        <v>5</v>
      </c>
      <c r="B46" s="74" t="s">
        <v>114</v>
      </c>
      <c r="C46" s="122">
        <v>11</v>
      </c>
      <c r="D46" s="123"/>
      <c r="E46" s="109">
        <v>1272</v>
      </c>
      <c r="F46" s="111"/>
      <c r="G46" s="110"/>
      <c r="H46" s="109">
        <v>11</v>
      </c>
      <c r="I46" s="111"/>
      <c r="J46" s="110"/>
      <c r="K46" s="109">
        <v>1272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1283</v>
      </c>
      <c r="X46" s="2"/>
      <c r="Y46" s="7"/>
      <c r="Z46" s="7"/>
      <c r="AA46" s="9"/>
    </row>
    <row r="47" spans="1:27" ht="65.099999999999994" customHeight="1">
      <c r="A47" s="85">
        <v>6</v>
      </c>
      <c r="B47" s="74" t="s">
        <v>115</v>
      </c>
      <c r="C47" s="122">
        <v>40</v>
      </c>
      <c r="D47" s="123"/>
      <c r="E47" s="109">
        <v>7654</v>
      </c>
      <c r="F47" s="111"/>
      <c r="G47" s="110"/>
      <c r="H47" s="109">
        <v>40</v>
      </c>
      <c r="I47" s="111"/>
      <c r="J47" s="110"/>
      <c r="K47" s="109">
        <v>7654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7694</v>
      </c>
      <c r="X47" s="2"/>
      <c r="Y47" s="7"/>
      <c r="Z47" s="7"/>
      <c r="AA47" s="9"/>
    </row>
    <row r="48" spans="1:27" ht="65.099999999999994" customHeight="1">
      <c r="A48" s="85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85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85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65.2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63.7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 t="s">
        <v>67</v>
      </c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8.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452"/>
      <c r="P57" s="452"/>
      <c r="Q57" s="452"/>
      <c r="R57" s="452"/>
      <c r="S57" s="452"/>
      <c r="T57" s="452"/>
      <c r="U57" s="452"/>
      <c r="V57" s="453"/>
    </row>
    <row r="58" spans="1:27" ht="86.2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454"/>
      <c r="P58" s="454"/>
      <c r="Q58" s="454"/>
      <c r="R58" s="454"/>
      <c r="S58" s="454"/>
      <c r="T58" s="454"/>
      <c r="U58" s="454"/>
      <c r="V58" s="455"/>
    </row>
    <row r="61" spans="1:27">
      <c r="S61" s="28"/>
      <c r="T61" s="28"/>
      <c r="U61" s="28"/>
    </row>
    <row r="62" spans="1:27">
      <c r="G62" s="88"/>
      <c r="H62" s="89"/>
      <c r="I62" s="89"/>
      <c r="J62" s="89"/>
      <c r="S62" s="28"/>
      <c r="T62" s="28"/>
      <c r="U62" s="29"/>
    </row>
    <row r="63" spans="1:27">
      <c r="G63" s="88"/>
      <c r="H63" s="89"/>
      <c r="I63" s="89"/>
      <c r="J63" s="89"/>
      <c r="S63" s="28"/>
      <c r="T63" s="28"/>
      <c r="U63" s="30"/>
    </row>
    <row r="64" spans="1:27">
      <c r="G64" s="88"/>
      <c r="H64" s="89"/>
      <c r="I64" s="89"/>
      <c r="J64" s="89"/>
      <c r="S64" s="28"/>
      <c r="T64" s="28"/>
      <c r="U64" s="28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>
      <c r="G67" s="88"/>
      <c r="H67" s="89"/>
      <c r="I67" s="89"/>
      <c r="J67" s="89"/>
    </row>
    <row r="68" spans="1:31">
      <c r="G68" s="88"/>
      <c r="H68" s="89"/>
      <c r="I68" s="89"/>
      <c r="J68" s="89"/>
    </row>
    <row r="69" spans="1:31">
      <c r="G69" s="88"/>
      <c r="H69" s="89"/>
      <c r="I69" s="89"/>
      <c r="J69" s="89"/>
    </row>
    <row r="70" spans="1:31">
      <c r="G70" s="88"/>
      <c r="H70" s="89"/>
      <c r="I70" s="89"/>
      <c r="J70" s="89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88"/>
      <c r="H75" s="89"/>
      <c r="I75" s="89"/>
      <c r="J75" s="89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88"/>
      <c r="H76" s="89"/>
      <c r="I76" s="89"/>
      <c r="J76" s="89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88"/>
      <c r="H77" s="89"/>
      <c r="I77" s="89"/>
      <c r="J77" s="89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88"/>
      <c r="H78" s="89"/>
      <c r="I78" s="89"/>
      <c r="J78" s="89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1">
    <mergeCell ref="A51:V51"/>
    <mergeCell ref="A52:V52"/>
    <mergeCell ref="A53:N53"/>
    <mergeCell ref="O53:V53"/>
    <mergeCell ref="A54:N58"/>
    <mergeCell ref="O54:V58"/>
    <mergeCell ref="C49:D49"/>
    <mergeCell ref="E49:G49"/>
    <mergeCell ref="H49:J49"/>
    <mergeCell ref="K49:N49"/>
    <mergeCell ref="O49:V49"/>
    <mergeCell ref="C50:D50"/>
    <mergeCell ref="E50:G50"/>
    <mergeCell ref="H50:J50"/>
    <mergeCell ref="K50:N50"/>
    <mergeCell ref="O50:V50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1:D41"/>
    <mergeCell ref="E41:G41"/>
    <mergeCell ref="H41:J41"/>
    <mergeCell ref="K41:N41"/>
    <mergeCell ref="O41:R41"/>
    <mergeCell ref="C42:D42"/>
    <mergeCell ref="E42:G42"/>
    <mergeCell ref="H42:J42"/>
    <mergeCell ref="K42:N42"/>
    <mergeCell ref="O42:R42"/>
    <mergeCell ref="M38:R38"/>
    <mergeCell ref="A39:B39"/>
    <mergeCell ref="F39:G39"/>
    <mergeCell ref="M39:R39"/>
    <mergeCell ref="A40:N40"/>
    <mergeCell ref="O40:V40"/>
    <mergeCell ref="S34:S35"/>
    <mergeCell ref="T34:U35"/>
    <mergeCell ref="V34:V35"/>
    <mergeCell ref="L36:L37"/>
    <mergeCell ref="M36:R37"/>
    <mergeCell ref="S36:S37"/>
    <mergeCell ref="T36:U37"/>
    <mergeCell ref="V36:V37"/>
    <mergeCell ref="L30:V30"/>
    <mergeCell ref="M31:R31"/>
    <mergeCell ref="W31:W35"/>
    <mergeCell ref="L32:L33"/>
    <mergeCell ref="M32:R33"/>
    <mergeCell ref="S32:S33"/>
    <mergeCell ref="T32:U33"/>
    <mergeCell ref="V32:V33"/>
    <mergeCell ref="L34:L35"/>
    <mergeCell ref="M34:R35"/>
    <mergeCell ref="L25:L29"/>
    <mergeCell ref="M25:R29"/>
    <mergeCell ref="S25:S29"/>
    <mergeCell ref="T25:U29"/>
    <mergeCell ref="V25:V29"/>
    <mergeCell ref="W25:W29"/>
    <mergeCell ref="W18:W19"/>
    <mergeCell ref="L20:L24"/>
    <mergeCell ref="M20:R24"/>
    <mergeCell ref="S20:S24"/>
    <mergeCell ref="T20:U24"/>
    <mergeCell ref="V20:V24"/>
    <mergeCell ref="W20:W24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C606-CF77-4C42-B24E-16BA8498B3AF}">
  <sheetPr>
    <pageSetUpPr fitToPage="1"/>
  </sheetPr>
  <dimension ref="A1:AH111"/>
  <sheetViews>
    <sheetView rightToLeft="1" view="pageBreakPreview" topLeftCell="A16" zoomScale="40" zoomScaleNormal="110" zoomScaleSheetLayoutView="40" workbookViewId="0">
      <selection activeCell="M11" sqref="M11:R14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81" t="s">
        <v>157</v>
      </c>
      <c r="S1" s="297" t="s">
        <v>248</v>
      </c>
      <c r="T1" s="297"/>
      <c r="U1" s="462" t="s">
        <v>249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82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82"/>
      <c r="S3" s="299"/>
      <c r="T3" s="299"/>
      <c r="U3" s="464"/>
      <c r="V3" s="465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250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207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224165</v>
      </c>
      <c r="W11" s="236">
        <f>V11+T11</f>
        <v>224165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1</v>
      </c>
      <c r="E15" s="40">
        <v>2</v>
      </c>
      <c r="F15" s="40">
        <v>9</v>
      </c>
      <c r="G15" s="24" t="s">
        <v>69</v>
      </c>
      <c r="H15" s="40">
        <v>2</v>
      </c>
      <c r="I15" s="40">
        <v>1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3</v>
      </c>
      <c r="I16" s="152">
        <v>3</v>
      </c>
      <c r="J16" s="152"/>
      <c r="K16" s="152"/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0">
        <v>1840</v>
      </c>
      <c r="U16" s="361"/>
      <c r="V16" s="445">
        <v>51576</v>
      </c>
      <c r="W16" s="47">
        <f>V16+T16</f>
        <v>53416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75" t="s">
        <v>254</v>
      </c>
      <c r="N18" s="476"/>
      <c r="O18" s="476"/>
      <c r="P18" s="476"/>
      <c r="Q18" s="476"/>
      <c r="R18" s="477"/>
      <c r="S18" s="160" t="s">
        <v>85</v>
      </c>
      <c r="T18" s="360">
        <v>1840</v>
      </c>
      <c r="U18" s="361"/>
      <c r="V18" s="445">
        <v>106696</v>
      </c>
      <c r="W18" s="178">
        <f>V18+T18</f>
        <v>108536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5</v>
      </c>
      <c r="J19" s="40"/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251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41477</v>
      </c>
      <c r="W20" s="178">
        <f>V20+T20</f>
        <v>41477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31" t="s">
        <v>225</v>
      </c>
      <c r="C23" s="40">
        <v>1</v>
      </c>
      <c r="D23" s="40">
        <v>1</v>
      </c>
      <c r="E23" s="40"/>
      <c r="F23" s="40"/>
      <c r="G23" s="27" t="s">
        <v>7</v>
      </c>
      <c r="H23" s="40">
        <v>3</v>
      </c>
      <c r="I23" s="40">
        <v>3</v>
      </c>
      <c r="J23" s="40"/>
      <c r="K23" s="40"/>
      <c r="L23" s="187"/>
      <c r="M23" s="215"/>
      <c r="N23" s="216"/>
      <c r="O23" s="216"/>
      <c r="P23" s="216"/>
      <c r="Q23" s="216"/>
      <c r="R23" s="217"/>
      <c r="S23" s="443"/>
      <c r="T23" s="369"/>
      <c r="U23" s="370"/>
      <c r="V23" s="446"/>
      <c r="W23" s="178"/>
      <c r="Z23" s="1"/>
    </row>
    <row r="24" spans="1:27" ht="70.5" customHeight="1">
      <c r="A24" s="84">
        <v>17</v>
      </c>
      <c r="B24" s="27" t="s">
        <v>8</v>
      </c>
      <c r="C24" s="59">
        <v>13</v>
      </c>
      <c r="D24" s="40">
        <v>13</v>
      </c>
      <c r="E24" s="40"/>
      <c r="F24" s="40">
        <v>16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215"/>
      <c r="N24" s="216"/>
      <c r="O24" s="216"/>
      <c r="P24" s="216"/>
      <c r="Q24" s="216"/>
      <c r="R24" s="217"/>
      <c r="S24" s="444"/>
      <c r="T24" s="371"/>
      <c r="U24" s="372"/>
      <c r="V24" s="447"/>
      <c r="W24" s="178"/>
      <c r="Z24" s="1"/>
    </row>
    <row r="25" spans="1:27" ht="51.95" customHeight="1">
      <c r="A25" s="84">
        <v>18</v>
      </c>
      <c r="B25" s="27" t="s">
        <v>63</v>
      </c>
      <c r="C25" s="59">
        <v>10</v>
      </c>
      <c r="D25" s="40">
        <v>8</v>
      </c>
      <c r="E25" s="40">
        <v>2</v>
      </c>
      <c r="F25" s="40">
        <v>17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6" t="s">
        <v>252</v>
      </c>
      <c r="N25" s="467"/>
      <c r="O25" s="467"/>
      <c r="P25" s="467"/>
      <c r="Q25" s="467"/>
      <c r="R25" s="468"/>
      <c r="S25" s="442" t="s">
        <v>85</v>
      </c>
      <c r="T25" s="360">
        <v>0</v>
      </c>
      <c r="U25" s="361"/>
      <c r="V25" s="445">
        <v>34316</v>
      </c>
      <c r="W25" s="209">
        <f>V25+T25</f>
        <v>34316</v>
      </c>
      <c r="Z25" s="1"/>
    </row>
    <row r="26" spans="1:27" ht="51.95" customHeight="1">
      <c r="A26" s="84">
        <v>19</v>
      </c>
      <c r="B26" s="27" t="s">
        <v>17</v>
      </c>
      <c r="C26" s="40">
        <v>5</v>
      </c>
      <c r="D26" s="40">
        <v>4</v>
      </c>
      <c r="E26" s="40">
        <v>1</v>
      </c>
      <c r="F26" s="40">
        <v>18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51.95" customHeight="1">
      <c r="A27" s="84">
        <v>20</v>
      </c>
      <c r="B27" s="27" t="s">
        <v>43</v>
      </c>
      <c r="C27" s="40">
        <v>1</v>
      </c>
      <c r="D27" s="40">
        <v>1</v>
      </c>
      <c r="E27" s="40"/>
      <c r="F27" s="40">
        <v>19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51.95" customHeight="1">
      <c r="A28" s="84">
        <v>21</v>
      </c>
      <c r="B28" s="27" t="s">
        <v>45</v>
      </c>
      <c r="C28" s="40">
        <v>2</v>
      </c>
      <c r="D28" s="40"/>
      <c r="E28" s="40">
        <v>2</v>
      </c>
      <c r="F28" s="40">
        <v>20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51.95" customHeight="1">
      <c r="A29" s="84">
        <v>22</v>
      </c>
      <c r="B29" s="27" t="s">
        <v>58</v>
      </c>
      <c r="C29" s="40">
        <v>1</v>
      </c>
      <c r="D29" s="40">
        <v>1</v>
      </c>
      <c r="E29" s="40"/>
      <c r="F29" s="40">
        <v>21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101</v>
      </c>
      <c r="C30" s="40">
        <v>1</v>
      </c>
      <c r="D30" s="40"/>
      <c r="E30" s="40">
        <v>1</v>
      </c>
      <c r="F30" s="40">
        <v>22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44</v>
      </c>
      <c r="C31" s="40">
        <v>2</v>
      </c>
      <c r="D31" s="40">
        <v>2</v>
      </c>
      <c r="E31" s="40"/>
      <c r="F31" s="40">
        <v>23</v>
      </c>
      <c r="G31" s="27" t="s">
        <v>97</v>
      </c>
      <c r="H31" s="40">
        <v>2</v>
      </c>
      <c r="I31" s="40"/>
      <c r="J31" s="40">
        <v>2</v>
      </c>
      <c r="K31" s="40"/>
      <c r="L31" s="40">
        <v>1</v>
      </c>
      <c r="M31" s="171" t="s">
        <v>253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103</v>
      </c>
      <c r="C32" s="40">
        <v>1</v>
      </c>
      <c r="D32" s="40"/>
      <c r="E32" s="40">
        <v>1</v>
      </c>
      <c r="F32" s="40">
        <v>24</v>
      </c>
      <c r="G32" s="86" t="s">
        <v>220</v>
      </c>
      <c r="H32" s="40">
        <v>1</v>
      </c>
      <c r="I32" s="40"/>
      <c r="J32" s="40">
        <v>1</v>
      </c>
      <c r="K32" s="40"/>
      <c r="L32" s="152">
        <v>2</v>
      </c>
      <c r="M32" s="180" t="s">
        <v>219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60</v>
      </c>
      <c r="C33" s="40">
        <v>3</v>
      </c>
      <c r="D33" s="40">
        <v>2</v>
      </c>
      <c r="E33" s="40">
        <v>1</v>
      </c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65</v>
      </c>
      <c r="C34" s="40">
        <v>3</v>
      </c>
      <c r="D34" s="40">
        <v>1</v>
      </c>
      <c r="E34" s="40">
        <v>2</v>
      </c>
      <c r="F34" s="40"/>
      <c r="G34" s="27"/>
      <c r="H34" s="40"/>
      <c r="I34" s="40"/>
      <c r="J34" s="40"/>
      <c r="K34" s="40"/>
      <c r="L34" s="186">
        <v>3</v>
      </c>
      <c r="M34" s="180"/>
      <c r="N34" s="181"/>
      <c r="O34" s="181"/>
      <c r="P34" s="181"/>
      <c r="Q34" s="181"/>
      <c r="R34" s="182"/>
      <c r="S34" s="160"/>
      <c r="T34" s="162"/>
      <c r="U34" s="163"/>
      <c r="V34" s="166"/>
      <c r="W34" s="179"/>
      <c r="Z34" s="1"/>
    </row>
    <row r="35" spans="1:27" ht="51.95" customHeight="1">
      <c r="A35" s="84">
        <v>28</v>
      </c>
      <c r="B35" s="27" t="s">
        <v>62</v>
      </c>
      <c r="C35" s="40">
        <v>3</v>
      </c>
      <c r="D35" s="40">
        <v>3</v>
      </c>
      <c r="E35" s="40"/>
      <c r="F35" s="40"/>
      <c r="G35" s="27"/>
      <c r="H35" s="40"/>
      <c r="I35" s="40"/>
      <c r="J35" s="40"/>
      <c r="K35" s="40"/>
      <c r="L35" s="186"/>
      <c r="M35" s="183"/>
      <c r="N35" s="184"/>
      <c r="O35" s="184"/>
      <c r="P35" s="184"/>
      <c r="Q35" s="184"/>
      <c r="R35" s="185"/>
      <c r="S35" s="161"/>
      <c r="T35" s="164"/>
      <c r="U35" s="165"/>
      <c r="V35" s="167"/>
      <c r="W35" s="179"/>
      <c r="Z35" s="1"/>
    </row>
    <row r="36" spans="1:27" ht="51.95" customHeight="1">
      <c r="A36" s="84">
        <v>29</v>
      </c>
      <c r="B36" s="27" t="s">
        <v>36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2">
        <v>4</v>
      </c>
      <c r="M36" s="384"/>
      <c r="N36" s="385"/>
      <c r="O36" s="385"/>
      <c r="P36" s="385"/>
      <c r="Q36" s="385"/>
      <c r="R36" s="386"/>
      <c r="S36" s="160"/>
      <c r="T36" s="162"/>
      <c r="U36" s="163"/>
      <c r="V36" s="166"/>
      <c r="W36" s="16"/>
      <c r="Z36" s="1"/>
    </row>
    <row r="37" spans="1:27" ht="51.95" customHeight="1">
      <c r="A37" s="84">
        <v>30</v>
      </c>
      <c r="B37" s="27" t="s">
        <v>93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153"/>
      <c r="M37" s="387"/>
      <c r="N37" s="388"/>
      <c r="O37" s="388"/>
      <c r="P37" s="388"/>
      <c r="Q37" s="388"/>
      <c r="R37" s="389"/>
      <c r="S37" s="161"/>
      <c r="T37" s="164"/>
      <c r="U37" s="165"/>
      <c r="V37" s="167"/>
      <c r="W37" s="16"/>
      <c r="Z37" s="1"/>
    </row>
    <row r="38" spans="1:27" ht="51.95" customHeight="1">
      <c r="A38" s="84">
        <v>31</v>
      </c>
      <c r="B38" s="27" t="s">
        <v>46</v>
      </c>
      <c r="C38" s="40">
        <v>1</v>
      </c>
      <c r="D38" s="40">
        <v>1</v>
      </c>
      <c r="E38" s="40"/>
      <c r="F38" s="40"/>
      <c r="G38" s="27"/>
      <c r="H38" s="40"/>
      <c r="I38" s="40"/>
      <c r="J38" s="40"/>
      <c r="K38" s="4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70</v>
      </c>
      <c r="D39" s="61">
        <f>SUM(D7:D38)</f>
        <v>53</v>
      </c>
      <c r="E39" s="61">
        <f>SUM(E7:E38)</f>
        <v>17</v>
      </c>
      <c r="F39" s="151" t="s">
        <v>9</v>
      </c>
      <c r="G39" s="151"/>
      <c r="H39" s="64">
        <f>SUM(H7:H38)</f>
        <v>74</v>
      </c>
      <c r="I39" s="64">
        <f>SUM(I7:I38)</f>
        <v>66</v>
      </c>
      <c r="J39" s="64">
        <f>SUM(J7:J38)</f>
        <v>5</v>
      </c>
      <c r="K39" s="64">
        <f>SUM(K7:K38)</f>
        <v>3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49.5" customHeight="1">
      <c r="A40" s="456" t="s">
        <v>81</v>
      </c>
      <c r="B40" s="457"/>
      <c r="C40" s="457"/>
      <c r="D40" s="457"/>
      <c r="E40" s="457"/>
      <c r="F40" s="457"/>
      <c r="G40" s="457"/>
      <c r="H40" s="457"/>
      <c r="I40" s="457"/>
      <c r="J40" s="457"/>
      <c r="K40" s="457"/>
      <c r="L40" s="457"/>
      <c r="M40" s="457"/>
      <c r="N40" s="457"/>
      <c r="O40" s="132" t="s">
        <v>33</v>
      </c>
      <c r="P40" s="132"/>
      <c r="Q40" s="132"/>
      <c r="R40" s="132"/>
      <c r="S40" s="132"/>
      <c r="T40" s="132"/>
      <c r="U40" s="132"/>
      <c r="V40" s="133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16.25" customHeight="1">
      <c r="A42" s="85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0</v>
      </c>
      <c r="I42" s="136"/>
      <c r="J42" s="135"/>
      <c r="K42" s="134">
        <v>99</v>
      </c>
      <c r="L42" s="136"/>
      <c r="M42" s="136"/>
      <c r="N42" s="135"/>
      <c r="O42" s="140"/>
      <c r="P42" s="141"/>
      <c r="Q42" s="141"/>
      <c r="R42" s="142"/>
      <c r="S42" s="56"/>
      <c r="T42" s="56"/>
      <c r="U42" s="57"/>
      <c r="V42" s="58"/>
      <c r="W42" s="80">
        <f>K42+H42</f>
        <v>99</v>
      </c>
      <c r="Y42" s="8"/>
    </row>
    <row r="43" spans="1:27" ht="108" customHeight="1">
      <c r="A43" s="85">
        <v>2</v>
      </c>
      <c r="B43" s="74" t="s">
        <v>136</v>
      </c>
      <c r="C43" s="117"/>
      <c r="D43" s="118"/>
      <c r="E43" s="109">
        <f>2527+29</f>
        <v>2556</v>
      </c>
      <c r="F43" s="111"/>
      <c r="G43" s="110"/>
      <c r="H43" s="134">
        <v>0</v>
      </c>
      <c r="I43" s="136"/>
      <c r="J43" s="135"/>
      <c r="K43" s="134">
        <v>683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80">
        <f t="shared" ref="W43:W50" si="2">K43+H43</f>
        <v>683</v>
      </c>
      <c r="X43" s="2"/>
      <c r="Y43" s="7"/>
      <c r="Z43" s="7"/>
      <c r="AA43" s="9"/>
    </row>
    <row r="44" spans="1:27" ht="100.5" customHeight="1">
      <c r="A44" s="85">
        <v>3</v>
      </c>
      <c r="B44" s="74" t="s">
        <v>80</v>
      </c>
      <c r="C44" s="122"/>
      <c r="D44" s="123"/>
      <c r="E44" s="109">
        <v>148000</v>
      </c>
      <c r="F44" s="111"/>
      <c r="G44" s="110"/>
      <c r="H44" s="109">
        <v>0</v>
      </c>
      <c r="I44" s="111"/>
      <c r="J44" s="110"/>
      <c r="K44" s="109">
        <v>134106</v>
      </c>
      <c r="L44" s="111"/>
      <c r="M44" s="111"/>
      <c r="N44" s="110"/>
      <c r="O44" s="483"/>
      <c r="P44" s="484"/>
      <c r="Q44" s="484"/>
      <c r="R44" s="485"/>
      <c r="S44" s="56"/>
      <c r="T44" s="56"/>
      <c r="U44" s="57"/>
      <c r="V44" s="58"/>
      <c r="W44" s="78">
        <f>K44+H44</f>
        <v>134106</v>
      </c>
      <c r="X44" s="2"/>
      <c r="Y44" s="7"/>
      <c r="Z44" s="7"/>
      <c r="AA44" s="9"/>
    </row>
    <row r="45" spans="1:27" ht="65.099999999999994" customHeight="1">
      <c r="A45" s="85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>
        <v>0</v>
      </c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85">
        <v>5</v>
      </c>
      <c r="B46" s="74" t="s">
        <v>114</v>
      </c>
      <c r="C46" s="122"/>
      <c r="D46" s="123"/>
      <c r="E46" s="109">
        <v>1272</v>
      </c>
      <c r="F46" s="111"/>
      <c r="G46" s="110"/>
      <c r="H46" s="109"/>
      <c r="I46" s="111"/>
      <c r="J46" s="110"/>
      <c r="K46" s="109">
        <v>1272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1272</v>
      </c>
      <c r="X46" s="2"/>
      <c r="Y46" s="7"/>
      <c r="Z46" s="7"/>
      <c r="AA46" s="9"/>
    </row>
    <row r="47" spans="1:27" ht="65.099999999999994" customHeight="1">
      <c r="A47" s="85">
        <v>6</v>
      </c>
      <c r="B47" s="74" t="s">
        <v>115</v>
      </c>
      <c r="C47" s="122">
        <v>33</v>
      </c>
      <c r="D47" s="123"/>
      <c r="E47" s="109">
        <v>7687</v>
      </c>
      <c r="F47" s="111"/>
      <c r="G47" s="110"/>
      <c r="H47" s="109">
        <v>33</v>
      </c>
      <c r="I47" s="111"/>
      <c r="J47" s="110"/>
      <c r="K47" s="109">
        <v>7687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7720</v>
      </c>
      <c r="X47" s="2"/>
      <c r="Y47" s="7"/>
      <c r="Z47" s="7"/>
      <c r="AA47" s="9"/>
    </row>
    <row r="48" spans="1:27" ht="65.099999999999994" customHeight="1">
      <c r="A48" s="85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85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85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65.2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63.7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 t="s">
        <v>67</v>
      </c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8.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452"/>
      <c r="P57" s="452"/>
      <c r="Q57" s="452"/>
      <c r="R57" s="452"/>
      <c r="S57" s="452"/>
      <c r="T57" s="452"/>
      <c r="U57" s="452"/>
      <c r="V57" s="453"/>
    </row>
    <row r="58" spans="1:27" ht="86.2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454"/>
      <c r="P58" s="454"/>
      <c r="Q58" s="454"/>
      <c r="R58" s="454"/>
      <c r="S58" s="454"/>
      <c r="T58" s="454"/>
      <c r="U58" s="454"/>
      <c r="V58" s="455"/>
    </row>
    <row r="61" spans="1:27">
      <c r="S61" s="28"/>
      <c r="T61" s="28"/>
      <c r="U61" s="28"/>
    </row>
    <row r="62" spans="1:27">
      <c r="G62" s="88"/>
      <c r="H62" s="89"/>
      <c r="I62" s="89"/>
      <c r="J62" s="89"/>
      <c r="S62" s="28"/>
      <c r="T62" s="28"/>
      <c r="U62" s="29"/>
    </row>
    <row r="63" spans="1:27">
      <c r="G63" s="88"/>
      <c r="H63" s="89"/>
      <c r="I63" s="89"/>
      <c r="J63" s="89"/>
      <c r="S63" s="28"/>
      <c r="T63" s="28"/>
      <c r="U63" s="30"/>
    </row>
    <row r="64" spans="1:27">
      <c r="G64" s="88"/>
      <c r="H64" s="89"/>
      <c r="I64" s="89"/>
      <c r="J64" s="89"/>
      <c r="S64" s="28"/>
      <c r="T64" s="28"/>
      <c r="U64" s="28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>
      <c r="G67" s="88"/>
      <c r="H67" s="89"/>
      <c r="I67" s="89"/>
      <c r="J67" s="89"/>
    </row>
    <row r="68" spans="1:31">
      <c r="G68" s="88"/>
      <c r="H68" s="89"/>
      <c r="I68" s="89"/>
      <c r="J68" s="89"/>
    </row>
    <row r="69" spans="1:31">
      <c r="G69" s="88"/>
      <c r="H69" s="89"/>
      <c r="I69" s="89"/>
      <c r="J69" s="89"/>
    </row>
    <row r="70" spans="1:31">
      <c r="G70" s="88"/>
      <c r="H70" s="89"/>
      <c r="I70" s="89"/>
      <c r="J70" s="89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88"/>
      <c r="H75" s="89"/>
      <c r="I75" s="89"/>
      <c r="J75" s="89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88"/>
      <c r="H76" s="89"/>
      <c r="I76" s="89"/>
      <c r="J76" s="89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88"/>
      <c r="H77" s="89"/>
      <c r="I77" s="89"/>
      <c r="J77" s="89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88"/>
      <c r="H78" s="89"/>
      <c r="I78" s="89"/>
      <c r="J78" s="89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1"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L25:L29"/>
    <mergeCell ref="M25:R29"/>
    <mergeCell ref="S25:S29"/>
    <mergeCell ref="T25:U29"/>
    <mergeCell ref="V25:V29"/>
    <mergeCell ref="W25:W29"/>
    <mergeCell ref="W18:W19"/>
    <mergeCell ref="L20:L24"/>
    <mergeCell ref="M20:R24"/>
    <mergeCell ref="S20:S24"/>
    <mergeCell ref="T20:U24"/>
    <mergeCell ref="V20:V24"/>
    <mergeCell ref="W20:W24"/>
    <mergeCell ref="L30:V30"/>
    <mergeCell ref="M31:R31"/>
    <mergeCell ref="W31:W35"/>
    <mergeCell ref="L32:L33"/>
    <mergeCell ref="M32:R33"/>
    <mergeCell ref="S32:S33"/>
    <mergeCell ref="T32:U33"/>
    <mergeCell ref="V32:V33"/>
    <mergeCell ref="L34:L35"/>
    <mergeCell ref="M34:R35"/>
    <mergeCell ref="M38:R38"/>
    <mergeCell ref="A39:B39"/>
    <mergeCell ref="F39:G39"/>
    <mergeCell ref="M39:R39"/>
    <mergeCell ref="A40:N40"/>
    <mergeCell ref="O40:V40"/>
    <mergeCell ref="S34:S35"/>
    <mergeCell ref="T34:U35"/>
    <mergeCell ref="V34:V35"/>
    <mergeCell ref="L36:L37"/>
    <mergeCell ref="M36:R37"/>
    <mergeCell ref="S36:S37"/>
    <mergeCell ref="T36:U37"/>
    <mergeCell ref="V36:V37"/>
    <mergeCell ref="C41:D41"/>
    <mergeCell ref="E41:G41"/>
    <mergeCell ref="H41:J41"/>
    <mergeCell ref="K41:N41"/>
    <mergeCell ref="O41:R41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A51:V51"/>
    <mergeCell ref="A52:V52"/>
    <mergeCell ref="A53:N53"/>
    <mergeCell ref="O53:V53"/>
    <mergeCell ref="A54:N58"/>
    <mergeCell ref="O54:V58"/>
    <mergeCell ref="C49:D49"/>
    <mergeCell ref="E49:G49"/>
    <mergeCell ref="H49:J49"/>
    <mergeCell ref="K49:N49"/>
    <mergeCell ref="O49:V49"/>
    <mergeCell ref="C50:D50"/>
    <mergeCell ref="E50:G50"/>
    <mergeCell ref="H50:J50"/>
    <mergeCell ref="K50:N50"/>
    <mergeCell ref="O50:V50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4D03-473E-4337-8998-3638AFE25394}">
  <sheetPr>
    <pageSetUpPr fitToPage="1"/>
  </sheetPr>
  <dimension ref="A1:AH111"/>
  <sheetViews>
    <sheetView rightToLeft="1" view="pageBreakPreview" topLeftCell="A13" zoomScale="40" zoomScaleNormal="110" zoomScaleSheetLayoutView="40" workbookViewId="0">
      <selection activeCell="M16" sqref="M16:R19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29.710937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81" t="s">
        <v>168</v>
      </c>
      <c r="S1" s="297" t="s">
        <v>255</v>
      </c>
      <c r="T1" s="297"/>
      <c r="U1" s="462" t="s">
        <v>256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82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82"/>
      <c r="S3" s="299"/>
      <c r="T3" s="299"/>
      <c r="U3" s="464"/>
      <c r="V3" s="465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257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207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224165</v>
      </c>
      <c r="W11" s="236">
        <f>V11+T11</f>
        <v>224165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1</v>
      </c>
      <c r="E15" s="40">
        <v>2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0">
        <v>1060</v>
      </c>
      <c r="U16" s="361"/>
      <c r="V16" s="445">
        <v>52636</v>
      </c>
      <c r="W16" s="47">
        <f>V16+T16</f>
        <v>53696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75" t="s">
        <v>258</v>
      </c>
      <c r="N18" s="476"/>
      <c r="O18" s="476"/>
      <c r="P18" s="476"/>
      <c r="Q18" s="476"/>
      <c r="R18" s="477"/>
      <c r="S18" s="160" t="s">
        <v>85</v>
      </c>
      <c r="T18" s="360">
        <v>1060</v>
      </c>
      <c r="U18" s="361"/>
      <c r="V18" s="445">
        <v>107756</v>
      </c>
      <c r="W18" s="178">
        <f>V18+T18</f>
        <v>108816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5</v>
      </c>
      <c r="J19" s="40"/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251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41477</v>
      </c>
      <c r="W20" s="178">
        <f>V20+T20</f>
        <v>41477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31" t="s">
        <v>225</v>
      </c>
      <c r="C23" s="40">
        <v>1</v>
      </c>
      <c r="D23" s="40">
        <v>1</v>
      </c>
      <c r="E23" s="40"/>
      <c r="F23" s="40"/>
      <c r="G23" s="27" t="s">
        <v>7</v>
      </c>
      <c r="H23" s="40">
        <v>3</v>
      </c>
      <c r="I23" s="40">
        <v>3</v>
      </c>
      <c r="J23" s="40"/>
      <c r="K23" s="40"/>
      <c r="L23" s="187"/>
      <c r="M23" s="215"/>
      <c r="N23" s="216"/>
      <c r="O23" s="216"/>
      <c r="P23" s="216"/>
      <c r="Q23" s="216"/>
      <c r="R23" s="217"/>
      <c r="S23" s="443"/>
      <c r="T23" s="369"/>
      <c r="U23" s="370"/>
      <c r="V23" s="446"/>
      <c r="W23" s="178"/>
      <c r="Z23" s="1"/>
    </row>
    <row r="24" spans="1:27" ht="70.5" customHeight="1">
      <c r="A24" s="84">
        <v>17</v>
      </c>
      <c r="B24" s="27" t="s">
        <v>8</v>
      </c>
      <c r="C24" s="59">
        <v>11</v>
      </c>
      <c r="D24" s="40">
        <v>10</v>
      </c>
      <c r="E24" s="40">
        <v>1</v>
      </c>
      <c r="F24" s="40">
        <v>16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215"/>
      <c r="N24" s="216"/>
      <c r="O24" s="216"/>
      <c r="P24" s="216"/>
      <c r="Q24" s="216"/>
      <c r="R24" s="217"/>
      <c r="S24" s="444"/>
      <c r="T24" s="371"/>
      <c r="U24" s="372"/>
      <c r="V24" s="447"/>
      <c r="W24" s="178"/>
      <c r="Z24" s="1"/>
    </row>
    <row r="25" spans="1:27" ht="51.95" customHeight="1">
      <c r="A25" s="84">
        <v>18</v>
      </c>
      <c r="B25" s="27" t="s">
        <v>63</v>
      </c>
      <c r="C25" s="59">
        <v>10</v>
      </c>
      <c r="D25" s="40">
        <v>8</v>
      </c>
      <c r="E25" s="40">
        <v>2</v>
      </c>
      <c r="F25" s="40">
        <v>17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6" t="s">
        <v>252</v>
      </c>
      <c r="N25" s="467"/>
      <c r="O25" s="467"/>
      <c r="P25" s="467"/>
      <c r="Q25" s="467"/>
      <c r="R25" s="468"/>
      <c r="S25" s="442" t="s">
        <v>85</v>
      </c>
      <c r="T25" s="360">
        <v>0</v>
      </c>
      <c r="U25" s="361"/>
      <c r="V25" s="445">
        <v>34316</v>
      </c>
      <c r="W25" s="209">
        <f>V25+T25</f>
        <v>34316</v>
      </c>
      <c r="Z25" s="1"/>
    </row>
    <row r="26" spans="1:27" ht="51.95" customHeight="1">
      <c r="A26" s="84">
        <v>19</v>
      </c>
      <c r="B26" s="27" t="s">
        <v>17</v>
      </c>
      <c r="C26" s="40">
        <v>5</v>
      </c>
      <c r="D26" s="40">
        <v>4</v>
      </c>
      <c r="E26" s="40">
        <v>1</v>
      </c>
      <c r="F26" s="40">
        <v>18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51.95" customHeight="1">
      <c r="A27" s="84">
        <v>20</v>
      </c>
      <c r="B27" s="27" t="s">
        <v>43</v>
      </c>
      <c r="C27" s="40">
        <v>1</v>
      </c>
      <c r="D27" s="40"/>
      <c r="E27" s="40">
        <v>1</v>
      </c>
      <c r="F27" s="40">
        <v>19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51.95" customHeight="1">
      <c r="A28" s="84">
        <v>21</v>
      </c>
      <c r="B28" s="27" t="s">
        <v>45</v>
      </c>
      <c r="C28" s="40">
        <v>2</v>
      </c>
      <c r="D28" s="40"/>
      <c r="E28" s="40">
        <v>2</v>
      </c>
      <c r="F28" s="40">
        <v>20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51.95" customHeight="1">
      <c r="A29" s="84">
        <v>22</v>
      </c>
      <c r="B29" s="27" t="s">
        <v>58</v>
      </c>
      <c r="C29" s="40">
        <v>1</v>
      </c>
      <c r="D29" s="40">
        <v>1</v>
      </c>
      <c r="E29" s="40"/>
      <c r="F29" s="40">
        <v>21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101</v>
      </c>
      <c r="C30" s="40">
        <v>1</v>
      </c>
      <c r="D30" s="40"/>
      <c r="E30" s="40">
        <v>1</v>
      </c>
      <c r="F30" s="40">
        <v>22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44</v>
      </c>
      <c r="C31" s="40">
        <v>2</v>
      </c>
      <c r="D31" s="40">
        <v>2</v>
      </c>
      <c r="E31" s="40"/>
      <c r="F31" s="40">
        <v>23</v>
      </c>
      <c r="G31" s="27" t="s">
        <v>97</v>
      </c>
      <c r="H31" s="40">
        <v>2</v>
      </c>
      <c r="I31" s="40"/>
      <c r="J31" s="40">
        <v>2</v>
      </c>
      <c r="K31" s="40"/>
      <c r="L31" s="40">
        <v>1</v>
      </c>
      <c r="M31" s="171" t="s">
        <v>253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103</v>
      </c>
      <c r="C32" s="40">
        <v>1</v>
      </c>
      <c r="D32" s="40"/>
      <c r="E32" s="40">
        <v>1</v>
      </c>
      <c r="F32" s="40">
        <v>24</v>
      </c>
      <c r="G32" s="86" t="s">
        <v>220</v>
      </c>
      <c r="H32" s="40">
        <v>1</v>
      </c>
      <c r="I32" s="40"/>
      <c r="J32" s="40">
        <v>1</v>
      </c>
      <c r="K32" s="40"/>
      <c r="L32" s="152">
        <v>2</v>
      </c>
      <c r="M32" s="180" t="s">
        <v>219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60</v>
      </c>
      <c r="C33" s="40">
        <v>3</v>
      </c>
      <c r="D33" s="40">
        <v>2</v>
      </c>
      <c r="E33" s="40">
        <v>1</v>
      </c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65</v>
      </c>
      <c r="C34" s="40">
        <v>3</v>
      </c>
      <c r="D34" s="40">
        <v>1</v>
      </c>
      <c r="E34" s="40">
        <v>2</v>
      </c>
      <c r="F34" s="40"/>
      <c r="G34" s="27"/>
      <c r="H34" s="40"/>
      <c r="I34" s="40"/>
      <c r="J34" s="40"/>
      <c r="K34" s="40"/>
      <c r="L34" s="186">
        <v>3</v>
      </c>
      <c r="M34" s="180"/>
      <c r="N34" s="181"/>
      <c r="O34" s="181"/>
      <c r="P34" s="181"/>
      <c r="Q34" s="181"/>
      <c r="R34" s="182"/>
      <c r="S34" s="160"/>
      <c r="T34" s="162"/>
      <c r="U34" s="163"/>
      <c r="V34" s="166"/>
      <c r="W34" s="179"/>
      <c r="Z34" s="1"/>
    </row>
    <row r="35" spans="1:27" ht="51.95" customHeight="1">
      <c r="A35" s="84">
        <v>28</v>
      </c>
      <c r="B35" s="27" t="s">
        <v>62</v>
      </c>
      <c r="C35" s="40">
        <v>3</v>
      </c>
      <c r="D35" s="40">
        <v>3</v>
      </c>
      <c r="E35" s="40"/>
      <c r="F35" s="40"/>
      <c r="G35" s="27"/>
      <c r="H35" s="40"/>
      <c r="I35" s="40"/>
      <c r="J35" s="40"/>
      <c r="K35" s="40"/>
      <c r="L35" s="186"/>
      <c r="M35" s="183"/>
      <c r="N35" s="184"/>
      <c r="O35" s="184"/>
      <c r="P35" s="184"/>
      <c r="Q35" s="184"/>
      <c r="R35" s="185"/>
      <c r="S35" s="161"/>
      <c r="T35" s="164"/>
      <c r="U35" s="165"/>
      <c r="V35" s="167"/>
      <c r="W35" s="179"/>
      <c r="Z35" s="1"/>
    </row>
    <row r="36" spans="1:27" ht="51.95" customHeight="1">
      <c r="A36" s="84">
        <v>29</v>
      </c>
      <c r="B36" s="27" t="s">
        <v>36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2">
        <v>4</v>
      </c>
      <c r="M36" s="384"/>
      <c r="N36" s="385"/>
      <c r="O36" s="385"/>
      <c r="P36" s="385"/>
      <c r="Q36" s="385"/>
      <c r="R36" s="386"/>
      <c r="S36" s="160"/>
      <c r="T36" s="162"/>
      <c r="U36" s="163"/>
      <c r="V36" s="166"/>
      <c r="W36" s="16"/>
      <c r="Z36" s="1"/>
    </row>
    <row r="37" spans="1:27" ht="51.95" customHeight="1">
      <c r="A37" s="84">
        <v>30</v>
      </c>
      <c r="B37" s="27" t="s">
        <v>93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153"/>
      <c r="M37" s="387"/>
      <c r="N37" s="388"/>
      <c r="O37" s="388"/>
      <c r="P37" s="388"/>
      <c r="Q37" s="388"/>
      <c r="R37" s="389"/>
      <c r="S37" s="161"/>
      <c r="T37" s="164"/>
      <c r="U37" s="165"/>
      <c r="V37" s="167"/>
      <c r="W37" s="16"/>
      <c r="Z37" s="1"/>
    </row>
    <row r="38" spans="1:27" ht="51.95" customHeight="1">
      <c r="A38" s="84">
        <v>31</v>
      </c>
      <c r="B38" s="27" t="s">
        <v>46</v>
      </c>
      <c r="C38" s="40">
        <v>1</v>
      </c>
      <c r="D38" s="40">
        <v>1</v>
      </c>
      <c r="E38" s="40"/>
      <c r="F38" s="40"/>
      <c r="G38" s="27"/>
      <c r="H38" s="40"/>
      <c r="I38" s="40"/>
      <c r="J38" s="40"/>
      <c r="K38" s="4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68</v>
      </c>
      <c r="D39" s="61">
        <f>SUM(D7:D38)</f>
        <v>49</v>
      </c>
      <c r="E39" s="61">
        <f>SUM(E7:E38)</f>
        <v>19</v>
      </c>
      <c r="F39" s="151" t="s">
        <v>9</v>
      </c>
      <c r="G39" s="151"/>
      <c r="H39" s="64">
        <f>SUM(H7:H38)</f>
        <v>74</v>
      </c>
      <c r="I39" s="64">
        <f>SUM(I7:I38)</f>
        <v>65</v>
      </c>
      <c r="J39" s="64">
        <f>SUM(J7:J38)</f>
        <v>5</v>
      </c>
      <c r="K39" s="64">
        <f>SUM(K7:K38)</f>
        <v>4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49.5" customHeight="1">
      <c r="A40" s="456" t="s">
        <v>81</v>
      </c>
      <c r="B40" s="457"/>
      <c r="C40" s="457"/>
      <c r="D40" s="457"/>
      <c r="E40" s="457"/>
      <c r="F40" s="457"/>
      <c r="G40" s="457"/>
      <c r="H40" s="457"/>
      <c r="I40" s="457"/>
      <c r="J40" s="457"/>
      <c r="K40" s="457"/>
      <c r="L40" s="457"/>
      <c r="M40" s="457"/>
      <c r="N40" s="457"/>
      <c r="O40" s="132" t="s">
        <v>33</v>
      </c>
      <c r="P40" s="132"/>
      <c r="Q40" s="132"/>
      <c r="R40" s="132"/>
      <c r="S40" s="132"/>
      <c r="T40" s="132"/>
      <c r="U40" s="132"/>
      <c r="V40" s="133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16.25" customHeight="1">
      <c r="A42" s="85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0</v>
      </c>
      <c r="I42" s="136"/>
      <c r="J42" s="135"/>
      <c r="K42" s="134">
        <v>99</v>
      </c>
      <c r="L42" s="136"/>
      <c r="M42" s="136"/>
      <c r="N42" s="135"/>
      <c r="O42" s="140"/>
      <c r="P42" s="141"/>
      <c r="Q42" s="141"/>
      <c r="R42" s="142"/>
      <c r="S42" s="56"/>
      <c r="T42" s="56"/>
      <c r="U42" s="57"/>
      <c r="V42" s="58"/>
      <c r="W42" s="80">
        <f>K42+H42</f>
        <v>99</v>
      </c>
      <c r="Y42" s="8"/>
    </row>
    <row r="43" spans="1:27" ht="108" customHeight="1">
      <c r="A43" s="85">
        <v>2</v>
      </c>
      <c r="B43" s="74" t="s">
        <v>136</v>
      </c>
      <c r="C43" s="117">
        <v>31</v>
      </c>
      <c r="D43" s="118"/>
      <c r="E43" s="109">
        <v>2587</v>
      </c>
      <c r="F43" s="111"/>
      <c r="G43" s="110"/>
      <c r="H43" s="134">
        <v>0</v>
      </c>
      <c r="I43" s="136"/>
      <c r="J43" s="135"/>
      <c r="K43" s="134">
        <v>683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80">
        <f t="shared" ref="W43:W50" si="2">K43+H43</f>
        <v>683</v>
      </c>
      <c r="X43" s="2"/>
      <c r="Y43" s="7"/>
      <c r="Z43" s="7"/>
      <c r="AA43" s="9"/>
    </row>
    <row r="44" spans="1:27" ht="100.5" customHeight="1">
      <c r="A44" s="85">
        <v>3</v>
      </c>
      <c r="B44" s="74" t="s">
        <v>80</v>
      </c>
      <c r="C44" s="122"/>
      <c r="D44" s="123"/>
      <c r="E44" s="109">
        <v>148000</v>
      </c>
      <c r="F44" s="111"/>
      <c r="G44" s="110"/>
      <c r="H44" s="109">
        <v>2250</v>
      </c>
      <c r="I44" s="111"/>
      <c r="J44" s="110"/>
      <c r="K44" s="109">
        <v>136356</v>
      </c>
      <c r="L44" s="111"/>
      <c r="M44" s="111"/>
      <c r="N44" s="110"/>
      <c r="O44" s="483"/>
      <c r="P44" s="484"/>
      <c r="Q44" s="484"/>
      <c r="R44" s="485"/>
      <c r="S44" s="56"/>
      <c r="T44" s="56"/>
      <c r="U44" s="57"/>
      <c r="V44" s="58"/>
      <c r="W44" s="78">
        <f>K44+H44</f>
        <v>138606</v>
      </c>
      <c r="X44" s="2"/>
      <c r="Y44" s="7"/>
      <c r="Z44" s="7"/>
      <c r="AA44" s="9"/>
    </row>
    <row r="45" spans="1:27" ht="65.099999999999994" customHeight="1">
      <c r="A45" s="85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>
        <v>0</v>
      </c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85">
        <v>5</v>
      </c>
      <c r="B46" s="74" t="s">
        <v>114</v>
      </c>
      <c r="C46" s="122">
        <v>11</v>
      </c>
      <c r="D46" s="123"/>
      <c r="E46" s="109">
        <v>1283</v>
      </c>
      <c r="F46" s="111"/>
      <c r="G46" s="110"/>
      <c r="H46" s="109">
        <v>11</v>
      </c>
      <c r="I46" s="111"/>
      <c r="J46" s="110"/>
      <c r="K46" s="109">
        <v>1283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1294</v>
      </c>
      <c r="X46" s="2"/>
      <c r="Y46" s="7"/>
      <c r="Z46" s="7"/>
      <c r="AA46" s="9"/>
    </row>
    <row r="47" spans="1:27" ht="65.099999999999994" customHeight="1">
      <c r="A47" s="85">
        <v>6</v>
      </c>
      <c r="B47" s="74" t="s">
        <v>115</v>
      </c>
      <c r="C47" s="122">
        <v>40</v>
      </c>
      <c r="D47" s="123"/>
      <c r="E47" s="109">
        <v>7727</v>
      </c>
      <c r="F47" s="111"/>
      <c r="G47" s="110"/>
      <c r="H47" s="109">
        <v>40</v>
      </c>
      <c r="I47" s="111"/>
      <c r="J47" s="110"/>
      <c r="K47" s="109">
        <v>7727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7767</v>
      </c>
      <c r="X47" s="2"/>
      <c r="Y47" s="7"/>
      <c r="Z47" s="7"/>
      <c r="AA47" s="9"/>
    </row>
    <row r="48" spans="1:27" ht="65.099999999999994" customHeight="1">
      <c r="A48" s="85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85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85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65.2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63.7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 t="s">
        <v>67</v>
      </c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8.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452"/>
      <c r="P57" s="452"/>
      <c r="Q57" s="452"/>
      <c r="R57" s="452"/>
      <c r="S57" s="452"/>
      <c r="T57" s="452"/>
      <c r="U57" s="452"/>
      <c r="V57" s="453"/>
    </row>
    <row r="58" spans="1:27" ht="86.2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454"/>
      <c r="P58" s="454"/>
      <c r="Q58" s="454"/>
      <c r="R58" s="454"/>
      <c r="S58" s="454"/>
      <c r="T58" s="454"/>
      <c r="U58" s="454"/>
      <c r="V58" s="455"/>
    </row>
    <row r="61" spans="1:27">
      <c r="S61" s="28"/>
      <c r="T61" s="28"/>
      <c r="U61" s="28"/>
    </row>
    <row r="62" spans="1:27">
      <c r="G62" s="88"/>
      <c r="H62" s="89"/>
      <c r="I62" s="89"/>
      <c r="J62" s="89"/>
      <c r="S62" s="28"/>
      <c r="T62" s="28"/>
      <c r="U62" s="29"/>
    </row>
    <row r="63" spans="1:27">
      <c r="G63" s="88"/>
      <c r="H63" s="89"/>
      <c r="I63" s="89"/>
      <c r="J63" s="89"/>
      <c r="S63" s="28"/>
      <c r="T63" s="28"/>
      <c r="U63" s="30"/>
    </row>
    <row r="64" spans="1:27">
      <c r="G64" s="88"/>
      <c r="H64" s="89"/>
      <c r="I64" s="89"/>
      <c r="J64" s="89"/>
      <c r="S64" s="28"/>
      <c r="T64" s="28"/>
      <c r="U64" s="28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>
      <c r="G67" s="88"/>
      <c r="H67" s="89"/>
      <c r="I67" s="89"/>
      <c r="J67" s="89"/>
    </row>
    <row r="68" spans="1:31">
      <c r="G68" s="88"/>
      <c r="H68" s="89"/>
      <c r="I68" s="89"/>
      <c r="J68" s="89"/>
    </row>
    <row r="69" spans="1:31">
      <c r="G69" s="88"/>
      <c r="H69" s="89"/>
      <c r="I69" s="89"/>
      <c r="J69" s="89"/>
    </row>
    <row r="70" spans="1:31">
      <c r="G70" s="88"/>
      <c r="H70" s="89"/>
      <c r="I70" s="89"/>
      <c r="J70" s="89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88"/>
      <c r="H75" s="89"/>
      <c r="I75" s="89"/>
      <c r="J75" s="89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88"/>
      <c r="H76" s="89"/>
      <c r="I76" s="89"/>
      <c r="J76" s="89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88"/>
      <c r="H77" s="89"/>
      <c r="I77" s="89"/>
      <c r="J77" s="89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88"/>
      <c r="H78" s="89"/>
      <c r="I78" s="89"/>
      <c r="J78" s="89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1">
    <mergeCell ref="A51:V51"/>
    <mergeCell ref="A52:V52"/>
    <mergeCell ref="A53:N53"/>
    <mergeCell ref="O53:V53"/>
    <mergeCell ref="A54:N58"/>
    <mergeCell ref="O54:V58"/>
    <mergeCell ref="C49:D49"/>
    <mergeCell ref="E49:G49"/>
    <mergeCell ref="H49:J49"/>
    <mergeCell ref="K49:N49"/>
    <mergeCell ref="O49:V49"/>
    <mergeCell ref="C50:D50"/>
    <mergeCell ref="E50:G50"/>
    <mergeCell ref="H50:J50"/>
    <mergeCell ref="K50:N50"/>
    <mergeCell ref="O50:V50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1:D41"/>
    <mergeCell ref="E41:G41"/>
    <mergeCell ref="H41:J41"/>
    <mergeCell ref="K41:N41"/>
    <mergeCell ref="O41:R41"/>
    <mergeCell ref="C42:D42"/>
    <mergeCell ref="E42:G42"/>
    <mergeCell ref="H42:J42"/>
    <mergeCell ref="K42:N42"/>
    <mergeCell ref="O42:R42"/>
    <mergeCell ref="M38:R38"/>
    <mergeCell ref="A39:B39"/>
    <mergeCell ref="F39:G39"/>
    <mergeCell ref="M39:R39"/>
    <mergeCell ref="A40:N40"/>
    <mergeCell ref="O40:V40"/>
    <mergeCell ref="S34:S35"/>
    <mergeCell ref="T34:U35"/>
    <mergeCell ref="V34:V35"/>
    <mergeCell ref="L36:L37"/>
    <mergeCell ref="M36:R37"/>
    <mergeCell ref="S36:S37"/>
    <mergeCell ref="T36:U37"/>
    <mergeCell ref="V36:V37"/>
    <mergeCell ref="L30:V30"/>
    <mergeCell ref="M31:R31"/>
    <mergeCell ref="W31:W35"/>
    <mergeCell ref="L32:L33"/>
    <mergeCell ref="M32:R33"/>
    <mergeCell ref="S32:S33"/>
    <mergeCell ref="T32:U33"/>
    <mergeCell ref="V32:V33"/>
    <mergeCell ref="L34:L35"/>
    <mergeCell ref="M34:R35"/>
    <mergeCell ref="L25:L29"/>
    <mergeCell ref="M25:R29"/>
    <mergeCell ref="S25:S29"/>
    <mergeCell ref="T25:U29"/>
    <mergeCell ref="V25:V29"/>
    <mergeCell ref="W25:W29"/>
    <mergeCell ref="W18:W19"/>
    <mergeCell ref="L20:L24"/>
    <mergeCell ref="M20:R24"/>
    <mergeCell ref="S20:S24"/>
    <mergeCell ref="T20:U24"/>
    <mergeCell ref="V20:V24"/>
    <mergeCell ref="W20:W24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0592-7E5B-4455-AE43-32436058B784}">
  <sheetPr>
    <pageSetUpPr fitToPage="1"/>
  </sheetPr>
  <dimension ref="A1:AH111"/>
  <sheetViews>
    <sheetView rightToLeft="1" view="pageBreakPreview" topLeftCell="A10" zoomScale="40" zoomScaleNormal="110" zoomScaleSheetLayoutView="40" workbookViewId="0">
      <selection activeCell="M11" sqref="M11:R14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86" t="s">
        <v>169</v>
      </c>
      <c r="S1" s="297" t="s">
        <v>259</v>
      </c>
      <c r="T1" s="297"/>
      <c r="U1" s="462" t="s">
        <v>260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87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87"/>
      <c r="S3" s="299"/>
      <c r="T3" s="299"/>
      <c r="U3" s="464"/>
      <c r="V3" s="465"/>
      <c r="W3" s="16"/>
      <c r="Y3">
        <f>20780-20000</f>
        <v>780</v>
      </c>
    </row>
    <row r="4" spans="1:34" ht="37.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52.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261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/>
      <c r="J9" s="40">
        <v>1</v>
      </c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/>
      <c r="J10" s="40">
        <v>1</v>
      </c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/>
      <c r="J11" s="40">
        <v>6</v>
      </c>
      <c r="K11" s="40"/>
      <c r="L11" s="186">
        <v>2</v>
      </c>
      <c r="M11" s="390" t="s">
        <v>264</v>
      </c>
      <c r="N11" s="391"/>
      <c r="O11" s="391"/>
      <c r="P11" s="391"/>
      <c r="Q11" s="391"/>
      <c r="R11" s="392"/>
      <c r="S11" s="160" t="s">
        <v>57</v>
      </c>
      <c r="T11" s="360">
        <v>11440</v>
      </c>
      <c r="U11" s="361"/>
      <c r="V11" s="445">
        <v>235605</v>
      </c>
      <c r="W11" s="236">
        <f>V11+T11</f>
        <v>247045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2</v>
      </c>
      <c r="D14" s="40">
        <v>2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2</v>
      </c>
      <c r="E15" s="40">
        <v>1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208</v>
      </c>
      <c r="N16" s="432"/>
      <c r="O16" s="432"/>
      <c r="P16" s="432"/>
      <c r="Q16" s="432"/>
      <c r="R16" s="433"/>
      <c r="S16" s="458" t="s">
        <v>85</v>
      </c>
      <c r="T16" s="360">
        <v>0</v>
      </c>
      <c r="U16" s="361"/>
      <c r="V16" s="445">
        <v>52636</v>
      </c>
      <c r="W16" s="47">
        <f>V16+T16</f>
        <v>52636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75" t="s">
        <v>209</v>
      </c>
      <c r="N18" s="476"/>
      <c r="O18" s="476"/>
      <c r="P18" s="476"/>
      <c r="Q18" s="476"/>
      <c r="R18" s="477"/>
      <c r="S18" s="160" t="s">
        <v>85</v>
      </c>
      <c r="T18" s="360">
        <v>0</v>
      </c>
      <c r="U18" s="361"/>
      <c r="V18" s="445">
        <v>107756</v>
      </c>
      <c r="W18" s="178">
        <f>V18+T18</f>
        <v>107756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5</v>
      </c>
      <c r="J19" s="40"/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251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41477</v>
      </c>
      <c r="W20" s="178">
        <f>V20+T20</f>
        <v>41477</v>
      </c>
      <c r="Z20" s="1"/>
    </row>
    <row r="21" spans="1:27" ht="70.5" customHeight="1">
      <c r="A21" s="84">
        <v>14</v>
      </c>
      <c r="B21" s="31" t="s">
        <v>37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14" t="s">
        <v>94</v>
      </c>
      <c r="C22" s="40">
        <v>1</v>
      </c>
      <c r="D22" s="40"/>
      <c r="E22" s="40">
        <v>1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31" t="s">
        <v>225</v>
      </c>
      <c r="C23" s="40">
        <v>1</v>
      </c>
      <c r="D23" s="40">
        <v>1</v>
      </c>
      <c r="E23" s="40"/>
      <c r="F23" s="40"/>
      <c r="G23" s="27" t="s">
        <v>7</v>
      </c>
      <c r="H23" s="40">
        <v>3</v>
      </c>
      <c r="I23" s="40">
        <v>3</v>
      </c>
      <c r="J23" s="40"/>
      <c r="K23" s="40"/>
      <c r="L23" s="187"/>
      <c r="M23" s="215"/>
      <c r="N23" s="216"/>
      <c r="O23" s="216"/>
      <c r="P23" s="216"/>
      <c r="Q23" s="216"/>
      <c r="R23" s="217"/>
      <c r="S23" s="443"/>
      <c r="T23" s="369"/>
      <c r="U23" s="370"/>
      <c r="V23" s="446"/>
      <c r="W23" s="178"/>
      <c r="Z23" s="1"/>
    </row>
    <row r="24" spans="1:27" ht="70.5" customHeight="1">
      <c r="A24" s="84">
        <v>17</v>
      </c>
      <c r="B24" s="27" t="s">
        <v>8</v>
      </c>
      <c r="C24" s="59">
        <v>11</v>
      </c>
      <c r="D24" s="40">
        <v>10</v>
      </c>
      <c r="E24" s="40">
        <v>1</v>
      </c>
      <c r="F24" s="40">
        <v>16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215"/>
      <c r="N24" s="216"/>
      <c r="O24" s="216"/>
      <c r="P24" s="216"/>
      <c r="Q24" s="216"/>
      <c r="R24" s="217"/>
      <c r="S24" s="444"/>
      <c r="T24" s="371"/>
      <c r="U24" s="372"/>
      <c r="V24" s="447"/>
      <c r="W24" s="178"/>
      <c r="Z24" s="1"/>
    </row>
    <row r="25" spans="1:27" ht="51.95" customHeight="1">
      <c r="A25" s="84">
        <v>18</v>
      </c>
      <c r="B25" s="27" t="s">
        <v>63</v>
      </c>
      <c r="C25" s="59">
        <v>10</v>
      </c>
      <c r="D25" s="40">
        <v>8</v>
      </c>
      <c r="E25" s="40">
        <v>2</v>
      </c>
      <c r="F25" s="40">
        <v>17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6" t="s">
        <v>262</v>
      </c>
      <c r="N25" s="467"/>
      <c r="O25" s="467"/>
      <c r="P25" s="467"/>
      <c r="Q25" s="467"/>
      <c r="R25" s="468"/>
      <c r="S25" s="442" t="s">
        <v>85</v>
      </c>
      <c r="T25" s="360">
        <v>297</v>
      </c>
      <c r="U25" s="361"/>
      <c r="V25" s="445">
        <v>34613</v>
      </c>
      <c r="W25" s="209">
        <f>V25+T25</f>
        <v>34910</v>
      </c>
      <c r="Z25" s="1"/>
    </row>
    <row r="26" spans="1:27" ht="51.95" customHeight="1">
      <c r="A26" s="84">
        <v>19</v>
      </c>
      <c r="B26" s="27" t="s">
        <v>17</v>
      </c>
      <c r="C26" s="40">
        <v>5</v>
      </c>
      <c r="D26" s="40">
        <v>4</v>
      </c>
      <c r="E26" s="40">
        <v>1</v>
      </c>
      <c r="F26" s="40">
        <v>18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51.95" customHeight="1">
      <c r="A27" s="84">
        <v>20</v>
      </c>
      <c r="B27" s="27" t="s">
        <v>43</v>
      </c>
      <c r="C27" s="40">
        <v>1</v>
      </c>
      <c r="D27" s="40"/>
      <c r="E27" s="40">
        <v>1</v>
      </c>
      <c r="F27" s="40">
        <v>19</v>
      </c>
      <c r="G27" s="27" t="s">
        <v>53</v>
      </c>
      <c r="H27" s="40">
        <v>20</v>
      </c>
      <c r="I27" s="40">
        <v>20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51.95" customHeight="1">
      <c r="A28" s="84">
        <v>21</v>
      </c>
      <c r="B28" s="27" t="s">
        <v>45</v>
      </c>
      <c r="C28" s="40">
        <v>2</v>
      </c>
      <c r="D28" s="40"/>
      <c r="E28" s="40">
        <v>2</v>
      </c>
      <c r="F28" s="40">
        <v>20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51.95" customHeight="1">
      <c r="A29" s="84">
        <v>22</v>
      </c>
      <c r="B29" s="27" t="s">
        <v>58</v>
      </c>
      <c r="C29" s="40">
        <v>1</v>
      </c>
      <c r="D29" s="40">
        <v>1</v>
      </c>
      <c r="E29" s="40"/>
      <c r="F29" s="40">
        <v>21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101</v>
      </c>
      <c r="C30" s="40">
        <v>1</v>
      </c>
      <c r="D30" s="40"/>
      <c r="E30" s="40">
        <v>1</v>
      </c>
      <c r="F30" s="40">
        <v>22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44</v>
      </c>
      <c r="C31" s="40">
        <v>2</v>
      </c>
      <c r="D31" s="40">
        <v>2</v>
      </c>
      <c r="E31" s="40"/>
      <c r="F31" s="40">
        <v>23</v>
      </c>
      <c r="G31" s="27" t="s">
        <v>97</v>
      </c>
      <c r="H31" s="40">
        <v>2</v>
      </c>
      <c r="I31" s="40"/>
      <c r="J31" s="40">
        <v>2</v>
      </c>
      <c r="K31" s="40"/>
      <c r="L31" s="40">
        <v>1</v>
      </c>
      <c r="M31" s="171" t="s">
        <v>253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103</v>
      </c>
      <c r="C32" s="40">
        <v>1</v>
      </c>
      <c r="D32" s="40"/>
      <c r="E32" s="40">
        <v>1</v>
      </c>
      <c r="F32" s="40">
        <v>24</v>
      </c>
      <c r="G32" s="86" t="s">
        <v>220</v>
      </c>
      <c r="H32" s="40">
        <v>1</v>
      </c>
      <c r="I32" s="40"/>
      <c r="J32" s="40">
        <v>1</v>
      </c>
      <c r="K32" s="40"/>
      <c r="L32" s="152">
        <v>2</v>
      </c>
      <c r="M32" s="180" t="s">
        <v>219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60</v>
      </c>
      <c r="C33" s="40">
        <v>3</v>
      </c>
      <c r="D33" s="40">
        <v>2</v>
      </c>
      <c r="E33" s="40">
        <v>1</v>
      </c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65</v>
      </c>
      <c r="C34" s="40">
        <v>3</v>
      </c>
      <c r="D34" s="40">
        <v>1</v>
      </c>
      <c r="E34" s="40">
        <v>2</v>
      </c>
      <c r="F34" s="40"/>
      <c r="G34" s="27"/>
      <c r="H34" s="40"/>
      <c r="I34" s="40"/>
      <c r="J34" s="40"/>
      <c r="K34" s="40"/>
      <c r="L34" s="186">
        <v>3</v>
      </c>
      <c r="M34" s="180" t="s">
        <v>263</v>
      </c>
      <c r="N34" s="181"/>
      <c r="O34" s="181"/>
      <c r="P34" s="181"/>
      <c r="Q34" s="181"/>
      <c r="R34" s="182"/>
      <c r="S34" s="160"/>
      <c r="T34" s="162"/>
      <c r="U34" s="163"/>
      <c r="V34" s="166"/>
      <c r="W34" s="179"/>
      <c r="Z34" s="1"/>
    </row>
    <row r="35" spans="1:27" ht="51.95" customHeight="1">
      <c r="A35" s="84">
        <v>28</v>
      </c>
      <c r="B35" s="27" t="s">
        <v>62</v>
      </c>
      <c r="C35" s="40">
        <v>3</v>
      </c>
      <c r="D35" s="40">
        <v>3</v>
      </c>
      <c r="E35" s="40"/>
      <c r="F35" s="40"/>
      <c r="G35" s="27"/>
      <c r="H35" s="40"/>
      <c r="I35" s="40"/>
      <c r="J35" s="40"/>
      <c r="K35" s="40"/>
      <c r="L35" s="186"/>
      <c r="M35" s="183"/>
      <c r="N35" s="184"/>
      <c r="O35" s="184"/>
      <c r="P35" s="184"/>
      <c r="Q35" s="184"/>
      <c r="R35" s="185"/>
      <c r="S35" s="161"/>
      <c r="T35" s="164"/>
      <c r="U35" s="165"/>
      <c r="V35" s="167"/>
      <c r="W35" s="179"/>
      <c r="Z35" s="1"/>
    </row>
    <row r="36" spans="1:27" ht="51.95" customHeight="1">
      <c r="A36" s="84">
        <v>29</v>
      </c>
      <c r="B36" s="27" t="s">
        <v>36</v>
      </c>
      <c r="C36" s="40">
        <v>1</v>
      </c>
      <c r="D36" s="40">
        <v>1</v>
      </c>
      <c r="E36" s="40"/>
      <c r="F36" s="40"/>
      <c r="G36" s="27"/>
      <c r="H36" s="40"/>
      <c r="I36" s="40"/>
      <c r="J36" s="40"/>
      <c r="K36" s="40"/>
      <c r="L36" s="152">
        <v>4</v>
      </c>
      <c r="M36" s="384"/>
      <c r="N36" s="385"/>
      <c r="O36" s="385"/>
      <c r="P36" s="385"/>
      <c r="Q36" s="385"/>
      <c r="R36" s="386"/>
      <c r="S36" s="160"/>
      <c r="T36" s="162"/>
      <c r="U36" s="163"/>
      <c r="V36" s="166"/>
      <c r="W36" s="16"/>
      <c r="Z36" s="1"/>
    </row>
    <row r="37" spans="1:27" ht="51.95" customHeight="1">
      <c r="A37" s="84">
        <v>30</v>
      </c>
      <c r="B37" s="27" t="s">
        <v>93</v>
      </c>
      <c r="C37" s="40">
        <v>1</v>
      </c>
      <c r="D37" s="40">
        <v>1</v>
      </c>
      <c r="E37" s="40"/>
      <c r="F37" s="40"/>
      <c r="G37" s="27"/>
      <c r="H37" s="40"/>
      <c r="I37" s="40"/>
      <c r="J37" s="40"/>
      <c r="K37" s="40"/>
      <c r="L37" s="153"/>
      <c r="M37" s="387"/>
      <c r="N37" s="388"/>
      <c r="O37" s="388"/>
      <c r="P37" s="388"/>
      <c r="Q37" s="388"/>
      <c r="R37" s="389"/>
      <c r="S37" s="161"/>
      <c r="T37" s="164"/>
      <c r="U37" s="165"/>
      <c r="V37" s="167"/>
      <c r="W37" s="16"/>
      <c r="Z37" s="1"/>
    </row>
    <row r="38" spans="1:27" ht="51.95" customHeight="1">
      <c r="A38" s="84">
        <v>31</v>
      </c>
      <c r="B38" s="27" t="s">
        <v>46</v>
      </c>
      <c r="C38" s="40">
        <v>1</v>
      </c>
      <c r="D38" s="40">
        <v>1</v>
      </c>
      <c r="E38" s="40"/>
      <c r="F38" s="40"/>
      <c r="G38" s="27"/>
      <c r="H38" s="40"/>
      <c r="I38" s="40"/>
      <c r="J38" s="40"/>
      <c r="K38" s="40"/>
      <c r="L38" s="27"/>
      <c r="M38" s="147"/>
      <c r="N38" s="148"/>
      <c r="O38" s="148"/>
      <c r="P38" s="148"/>
      <c r="Q38" s="148"/>
      <c r="R38" s="149"/>
      <c r="S38" s="48"/>
      <c r="T38" s="52"/>
      <c r="U38" s="53"/>
      <c r="V38" s="55"/>
      <c r="W38" s="16"/>
      <c r="Z38" s="1"/>
    </row>
    <row r="39" spans="1:27" ht="63.75" customHeight="1">
      <c r="A39" s="150" t="s">
        <v>9</v>
      </c>
      <c r="B39" s="151"/>
      <c r="C39" s="61">
        <f>SUM(C7:C38)</f>
        <v>68</v>
      </c>
      <c r="D39" s="61">
        <f>SUM(D7:D38)</f>
        <v>50</v>
      </c>
      <c r="E39" s="61">
        <f>SUM(E7:E38)</f>
        <v>18</v>
      </c>
      <c r="F39" s="151" t="s">
        <v>9</v>
      </c>
      <c r="G39" s="151"/>
      <c r="H39" s="64">
        <f>SUM(H7:H38)</f>
        <v>74</v>
      </c>
      <c r="I39" s="64">
        <f>SUM(I7:I38)</f>
        <v>57</v>
      </c>
      <c r="J39" s="64">
        <f>SUM(J7:J38)</f>
        <v>13</v>
      </c>
      <c r="K39" s="64">
        <f>SUM(K7:K38)</f>
        <v>4</v>
      </c>
      <c r="L39" s="76"/>
      <c r="M39" s="147"/>
      <c r="N39" s="148"/>
      <c r="O39" s="148"/>
      <c r="P39" s="148"/>
      <c r="Q39" s="148"/>
      <c r="R39" s="149"/>
      <c r="S39" s="48"/>
      <c r="T39" s="52"/>
      <c r="U39" s="53"/>
      <c r="V39" s="55"/>
      <c r="W39" s="16"/>
    </row>
    <row r="40" spans="1:27" ht="49.5" customHeight="1">
      <c r="A40" s="456" t="s">
        <v>81</v>
      </c>
      <c r="B40" s="457"/>
      <c r="C40" s="457"/>
      <c r="D40" s="457"/>
      <c r="E40" s="457"/>
      <c r="F40" s="457"/>
      <c r="G40" s="457"/>
      <c r="H40" s="457"/>
      <c r="I40" s="457"/>
      <c r="J40" s="457"/>
      <c r="K40" s="457"/>
      <c r="L40" s="457"/>
      <c r="M40" s="457"/>
      <c r="N40" s="457"/>
      <c r="O40" s="132" t="s">
        <v>33</v>
      </c>
      <c r="P40" s="132"/>
      <c r="Q40" s="132"/>
      <c r="R40" s="132"/>
      <c r="S40" s="132"/>
      <c r="T40" s="132"/>
      <c r="U40" s="132"/>
      <c r="V40" s="133"/>
      <c r="W40" s="16"/>
    </row>
    <row r="41" spans="1:27" ht="54" customHeight="1">
      <c r="A41" s="11" t="s">
        <v>2</v>
      </c>
      <c r="B41" s="27" t="s">
        <v>5</v>
      </c>
      <c r="C41" s="143" t="s">
        <v>24</v>
      </c>
      <c r="D41" s="143"/>
      <c r="E41" s="143" t="s">
        <v>68</v>
      </c>
      <c r="F41" s="143"/>
      <c r="G41" s="143"/>
      <c r="H41" s="143" t="s">
        <v>42</v>
      </c>
      <c r="I41" s="143"/>
      <c r="J41" s="143"/>
      <c r="K41" s="143" t="s">
        <v>41</v>
      </c>
      <c r="L41" s="143"/>
      <c r="M41" s="143"/>
      <c r="N41" s="143"/>
      <c r="O41" s="144" t="s">
        <v>31</v>
      </c>
      <c r="P41" s="145"/>
      <c r="Q41" s="145"/>
      <c r="R41" s="146"/>
      <c r="S41" s="62" t="s">
        <v>75</v>
      </c>
      <c r="T41" s="62" t="s">
        <v>77</v>
      </c>
      <c r="U41" s="62" t="s">
        <v>76</v>
      </c>
      <c r="V41" s="63" t="s">
        <v>32</v>
      </c>
      <c r="W41" s="16"/>
    </row>
    <row r="42" spans="1:27" ht="116.25" customHeight="1">
      <c r="A42" s="85">
        <v>1</v>
      </c>
      <c r="B42" s="74" t="s">
        <v>135</v>
      </c>
      <c r="C42" s="134"/>
      <c r="D42" s="135"/>
      <c r="E42" s="109">
        <v>100</v>
      </c>
      <c r="F42" s="111"/>
      <c r="G42" s="110"/>
      <c r="H42" s="134">
        <v>0</v>
      </c>
      <c r="I42" s="136"/>
      <c r="J42" s="135"/>
      <c r="K42" s="134">
        <v>99</v>
      </c>
      <c r="L42" s="136"/>
      <c r="M42" s="136"/>
      <c r="N42" s="135"/>
      <c r="O42" s="140"/>
      <c r="P42" s="141"/>
      <c r="Q42" s="141"/>
      <c r="R42" s="142"/>
      <c r="S42" s="56"/>
      <c r="T42" s="56"/>
      <c r="U42" s="57"/>
      <c r="V42" s="58"/>
      <c r="W42" s="80">
        <f>K42+H42</f>
        <v>99</v>
      </c>
      <c r="Y42" s="8"/>
    </row>
    <row r="43" spans="1:27" ht="108" customHeight="1">
      <c r="A43" s="85">
        <v>2</v>
      </c>
      <c r="B43" s="74" t="s">
        <v>136</v>
      </c>
      <c r="C43" s="117"/>
      <c r="D43" s="118"/>
      <c r="E43" s="109">
        <v>2587</v>
      </c>
      <c r="F43" s="111"/>
      <c r="G43" s="110"/>
      <c r="H43" s="134">
        <v>0</v>
      </c>
      <c r="I43" s="136"/>
      <c r="J43" s="135"/>
      <c r="K43" s="134">
        <v>683</v>
      </c>
      <c r="L43" s="136"/>
      <c r="M43" s="136"/>
      <c r="N43" s="135"/>
      <c r="O43" s="140"/>
      <c r="P43" s="141"/>
      <c r="Q43" s="141"/>
      <c r="R43" s="142"/>
      <c r="S43" s="56"/>
      <c r="T43" s="56"/>
      <c r="U43" s="57"/>
      <c r="V43" s="58"/>
      <c r="W43" s="80">
        <f t="shared" ref="W43:W50" si="2">K43+H43</f>
        <v>683</v>
      </c>
      <c r="X43" s="2"/>
      <c r="Y43" s="7"/>
      <c r="Z43" s="7"/>
      <c r="AA43" s="9"/>
    </row>
    <row r="44" spans="1:27" ht="100.5" customHeight="1">
      <c r="A44" s="85">
        <v>3</v>
      </c>
      <c r="B44" s="74" t="s">
        <v>80</v>
      </c>
      <c r="C44" s="122"/>
      <c r="D44" s="123"/>
      <c r="E44" s="109">
        <v>148000</v>
      </c>
      <c r="F44" s="111"/>
      <c r="G44" s="110"/>
      <c r="H44" s="109">
        <v>800</v>
      </c>
      <c r="I44" s="111"/>
      <c r="J44" s="110"/>
      <c r="K44" s="109">
        <v>137156</v>
      </c>
      <c r="L44" s="111"/>
      <c r="M44" s="111"/>
      <c r="N44" s="110"/>
      <c r="O44" s="483"/>
      <c r="P44" s="484"/>
      <c r="Q44" s="484"/>
      <c r="R44" s="485"/>
      <c r="S44" s="56"/>
      <c r="T44" s="56"/>
      <c r="U44" s="57"/>
      <c r="V44" s="58"/>
      <c r="W44" s="78">
        <f>K44+H44</f>
        <v>137956</v>
      </c>
      <c r="X44" s="2"/>
      <c r="Y44" s="7"/>
      <c r="Z44" s="7"/>
      <c r="AA44" s="9"/>
    </row>
    <row r="45" spans="1:27" ht="65.099999999999994" customHeight="1">
      <c r="A45" s="85">
        <v>4</v>
      </c>
      <c r="B45" s="74" t="s">
        <v>56</v>
      </c>
      <c r="C45" s="117"/>
      <c r="D45" s="118"/>
      <c r="E45" s="109">
        <v>20920</v>
      </c>
      <c r="F45" s="111"/>
      <c r="G45" s="110"/>
      <c r="H45" s="109">
        <v>0</v>
      </c>
      <c r="I45" s="111"/>
      <c r="J45" s="110"/>
      <c r="K45" s="109">
        <v>15900</v>
      </c>
      <c r="L45" s="111"/>
      <c r="M45" s="111"/>
      <c r="N45" s="110"/>
      <c r="O45" s="132" t="s">
        <v>25</v>
      </c>
      <c r="P45" s="132"/>
      <c r="Q45" s="132"/>
      <c r="R45" s="132"/>
      <c r="S45" s="132"/>
      <c r="T45" s="132"/>
      <c r="U45" s="132"/>
      <c r="V45" s="133"/>
      <c r="W45" s="22">
        <f t="shared" si="2"/>
        <v>15900</v>
      </c>
      <c r="X45" s="2"/>
      <c r="Y45" s="7"/>
      <c r="Z45" s="7"/>
      <c r="AA45" s="9"/>
    </row>
    <row r="46" spans="1:27" ht="65.099999999999994" customHeight="1">
      <c r="A46" s="85">
        <v>5</v>
      </c>
      <c r="B46" s="74" t="s">
        <v>114</v>
      </c>
      <c r="C46" s="122">
        <v>11</v>
      </c>
      <c r="D46" s="123"/>
      <c r="E46" s="109">
        <v>1294</v>
      </c>
      <c r="F46" s="111"/>
      <c r="G46" s="110"/>
      <c r="H46" s="109">
        <v>11</v>
      </c>
      <c r="I46" s="111"/>
      <c r="J46" s="110"/>
      <c r="K46" s="109">
        <v>1294</v>
      </c>
      <c r="L46" s="111"/>
      <c r="M46" s="111"/>
      <c r="N46" s="110"/>
      <c r="O46" s="126" t="s">
        <v>107</v>
      </c>
      <c r="P46" s="127"/>
      <c r="Q46" s="127"/>
      <c r="R46" s="127"/>
      <c r="S46" s="127"/>
      <c r="T46" s="127"/>
      <c r="U46" s="127"/>
      <c r="V46" s="128"/>
      <c r="W46" s="22">
        <f>K46+H46</f>
        <v>1305</v>
      </c>
      <c r="X46" s="2"/>
      <c r="Y46" s="7"/>
      <c r="Z46" s="7"/>
      <c r="AA46" s="9"/>
    </row>
    <row r="47" spans="1:27" ht="65.099999999999994" customHeight="1">
      <c r="A47" s="85">
        <v>6</v>
      </c>
      <c r="B47" s="74" t="s">
        <v>115</v>
      </c>
      <c r="C47" s="122">
        <v>30</v>
      </c>
      <c r="D47" s="123"/>
      <c r="E47" s="109">
        <v>7757</v>
      </c>
      <c r="F47" s="111"/>
      <c r="G47" s="110"/>
      <c r="H47" s="109">
        <v>30</v>
      </c>
      <c r="I47" s="111"/>
      <c r="J47" s="110"/>
      <c r="K47" s="109">
        <v>7757</v>
      </c>
      <c r="L47" s="111"/>
      <c r="M47" s="111"/>
      <c r="N47" s="110"/>
      <c r="O47" s="126" t="s">
        <v>86</v>
      </c>
      <c r="P47" s="127"/>
      <c r="Q47" s="127"/>
      <c r="R47" s="127"/>
      <c r="S47" s="127"/>
      <c r="T47" s="127"/>
      <c r="U47" s="127"/>
      <c r="V47" s="128"/>
      <c r="W47" s="23">
        <f>K47+H47</f>
        <v>7787</v>
      </c>
      <c r="X47" s="2"/>
      <c r="Y47" s="7"/>
      <c r="Z47" s="7"/>
      <c r="AA47" s="9"/>
    </row>
    <row r="48" spans="1:27" ht="65.099999999999994" customHeight="1">
      <c r="A48" s="85">
        <v>7</v>
      </c>
      <c r="B48" s="74" t="s">
        <v>79</v>
      </c>
      <c r="C48" s="117"/>
      <c r="D48" s="118"/>
      <c r="E48" s="109">
        <v>9260</v>
      </c>
      <c r="F48" s="111"/>
      <c r="G48" s="110"/>
      <c r="H48" s="109">
        <v>0</v>
      </c>
      <c r="I48" s="111"/>
      <c r="J48" s="110"/>
      <c r="K48" s="109">
        <v>7980</v>
      </c>
      <c r="L48" s="111"/>
      <c r="M48" s="111"/>
      <c r="N48" s="110"/>
      <c r="O48" s="119" t="s">
        <v>87</v>
      </c>
      <c r="P48" s="120"/>
      <c r="Q48" s="120"/>
      <c r="R48" s="120"/>
      <c r="S48" s="120"/>
      <c r="T48" s="120"/>
      <c r="U48" s="120"/>
      <c r="V48" s="121"/>
      <c r="W48" s="22">
        <f t="shared" si="2"/>
        <v>7980</v>
      </c>
      <c r="X48" s="2"/>
      <c r="Y48" s="7"/>
      <c r="Z48" s="7"/>
      <c r="AA48" s="9"/>
    </row>
    <row r="49" spans="1:27" ht="65.099999999999994" customHeight="1">
      <c r="A49" s="85">
        <v>8</v>
      </c>
      <c r="B49" s="74" t="s">
        <v>98</v>
      </c>
      <c r="C49" s="122"/>
      <c r="D49" s="123"/>
      <c r="E49" s="109">
        <v>2938</v>
      </c>
      <c r="F49" s="111"/>
      <c r="G49" s="110"/>
      <c r="H49" s="109">
        <v>0</v>
      </c>
      <c r="I49" s="111"/>
      <c r="J49" s="110"/>
      <c r="K49" s="109">
        <v>400</v>
      </c>
      <c r="L49" s="111"/>
      <c r="M49" s="111"/>
      <c r="N49" s="110"/>
      <c r="O49" s="124" t="s">
        <v>96</v>
      </c>
      <c r="P49" s="124"/>
      <c r="Q49" s="124"/>
      <c r="R49" s="124"/>
      <c r="S49" s="124"/>
      <c r="T49" s="124"/>
      <c r="U49" s="124"/>
      <c r="V49" s="125"/>
      <c r="W49" s="22">
        <f t="shared" si="2"/>
        <v>400</v>
      </c>
      <c r="X49" s="2"/>
      <c r="Y49" s="7"/>
      <c r="Z49" s="7"/>
      <c r="AA49" s="9"/>
    </row>
    <row r="50" spans="1:27" ht="65.099999999999994" customHeight="1">
      <c r="A50" s="85">
        <v>9</v>
      </c>
      <c r="B50" s="74" t="s">
        <v>99</v>
      </c>
      <c r="C50" s="109"/>
      <c r="D50" s="110"/>
      <c r="E50" s="109">
        <v>1523</v>
      </c>
      <c r="F50" s="111"/>
      <c r="G50" s="110"/>
      <c r="H50" s="109">
        <v>0</v>
      </c>
      <c r="I50" s="111"/>
      <c r="J50" s="110"/>
      <c r="K50" s="109">
        <v>200</v>
      </c>
      <c r="L50" s="111"/>
      <c r="M50" s="111"/>
      <c r="N50" s="110"/>
      <c r="O50" s="399"/>
      <c r="P50" s="399"/>
      <c r="Q50" s="399"/>
      <c r="R50" s="399"/>
      <c r="S50" s="399"/>
      <c r="T50" s="399"/>
      <c r="U50" s="399"/>
      <c r="V50" s="400"/>
      <c r="W50" s="22">
        <f t="shared" si="2"/>
        <v>200</v>
      </c>
      <c r="X50" s="2"/>
      <c r="Y50" s="7"/>
      <c r="Z50" s="7"/>
      <c r="AA50" s="9"/>
    </row>
    <row r="51" spans="1:27" ht="36.75" customHeight="1">
      <c r="A51" s="114" t="s">
        <v>90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6"/>
      <c r="W51" s="21"/>
      <c r="X51" s="2"/>
      <c r="Y51" s="7">
        <f>14050+100</f>
        <v>14150</v>
      </c>
      <c r="Z51" s="7"/>
      <c r="AA51" s="9"/>
    </row>
    <row r="52" spans="1:27" s="44" customFormat="1" ht="54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5"/>
      <c r="W52" s="41"/>
      <c r="X52" s="42"/>
      <c r="Y52" s="42"/>
      <c r="Z52" s="42"/>
      <c r="AA52" s="43"/>
    </row>
    <row r="53" spans="1:27" ht="65.25" customHeight="1">
      <c r="A53" s="96" t="s">
        <v>88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8"/>
      <c r="O53" s="99" t="s">
        <v>18</v>
      </c>
      <c r="P53" s="99"/>
      <c r="Q53" s="99"/>
      <c r="R53" s="99"/>
      <c r="S53" s="99"/>
      <c r="T53" s="99"/>
      <c r="U53" s="99"/>
      <c r="V53" s="100"/>
    </row>
    <row r="54" spans="1:27" ht="63.7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 t="s">
        <v>67</v>
      </c>
      <c r="P54" s="452"/>
      <c r="Q54" s="452"/>
      <c r="R54" s="452"/>
      <c r="S54" s="452"/>
      <c r="T54" s="452"/>
      <c r="U54" s="452"/>
      <c r="V54" s="453"/>
    </row>
    <row r="55" spans="1:27" ht="45" customHeight="1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452"/>
      <c r="P55" s="452"/>
      <c r="Q55" s="452"/>
      <c r="R55" s="452"/>
      <c r="S55" s="452"/>
      <c r="T55" s="452"/>
      <c r="U55" s="452"/>
      <c r="V55" s="453"/>
    </row>
    <row r="56" spans="1:27" ht="45" customHeight="1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452"/>
      <c r="P56" s="452"/>
      <c r="Q56" s="452"/>
      <c r="R56" s="452"/>
      <c r="S56" s="452"/>
      <c r="T56" s="452"/>
      <c r="U56" s="452"/>
      <c r="V56" s="453"/>
    </row>
    <row r="57" spans="1:27" ht="88.5" customHeight="1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452"/>
      <c r="P57" s="452"/>
      <c r="Q57" s="452"/>
      <c r="R57" s="452"/>
      <c r="S57" s="452"/>
      <c r="T57" s="452"/>
      <c r="U57" s="452"/>
      <c r="V57" s="453"/>
    </row>
    <row r="58" spans="1:27" ht="86.25" customHeight="1" thickBot="1">
      <c r="A58" s="103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454"/>
      <c r="P58" s="454"/>
      <c r="Q58" s="454"/>
      <c r="R58" s="454"/>
      <c r="S58" s="454"/>
      <c r="T58" s="454"/>
      <c r="U58" s="454"/>
      <c r="V58" s="455"/>
    </row>
    <row r="61" spans="1:27">
      <c r="S61" s="28"/>
      <c r="T61" s="28"/>
      <c r="U61" s="28"/>
    </row>
    <row r="62" spans="1:27">
      <c r="G62" s="88"/>
      <c r="H62" s="89"/>
      <c r="I62" s="89"/>
      <c r="J62" s="89"/>
      <c r="S62" s="28"/>
      <c r="T62" s="28"/>
      <c r="U62" s="29"/>
    </row>
    <row r="63" spans="1:27">
      <c r="G63" s="88"/>
      <c r="H63" s="89"/>
      <c r="I63" s="89"/>
      <c r="J63" s="89"/>
      <c r="S63" s="28"/>
      <c r="T63" s="28"/>
      <c r="U63" s="30"/>
    </row>
    <row r="64" spans="1:27">
      <c r="G64" s="88"/>
      <c r="H64" s="89"/>
      <c r="I64" s="89"/>
      <c r="J64" s="89"/>
      <c r="S64" s="28"/>
      <c r="T64" s="28"/>
      <c r="U64" s="28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>
      <c r="G67" s="88"/>
      <c r="H67" s="89"/>
      <c r="I67" s="89"/>
      <c r="J67" s="89"/>
    </row>
    <row r="68" spans="1:31">
      <c r="G68" s="88"/>
      <c r="H68" s="89"/>
      <c r="I68" s="89"/>
      <c r="J68" s="89"/>
    </row>
    <row r="69" spans="1:31">
      <c r="G69" s="88"/>
      <c r="H69" s="89"/>
      <c r="I69" s="89"/>
      <c r="J69" s="89"/>
    </row>
    <row r="70" spans="1:31">
      <c r="G70" s="88"/>
      <c r="H70" s="89"/>
      <c r="I70" s="89"/>
      <c r="J70" s="89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88"/>
      <c r="H75" s="89"/>
      <c r="I75" s="89"/>
      <c r="J75" s="89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G76" s="88"/>
      <c r="H76" s="89"/>
      <c r="I76" s="89"/>
      <c r="J76" s="89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G77" s="88"/>
      <c r="H77" s="89"/>
      <c r="I77" s="89"/>
      <c r="J77" s="89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G78" s="88"/>
      <c r="H78" s="89"/>
      <c r="I78" s="89"/>
      <c r="J78" s="89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24</v>
      </c>
      <c r="W108" s="20"/>
      <c r="X108"/>
      <c r="Y108"/>
      <c r="Z108"/>
      <c r="AA108"/>
      <c r="AB108"/>
      <c r="AC108"/>
      <c r="AD108"/>
      <c r="AE108"/>
    </row>
    <row r="109" spans="1:31" s="3" customFormat="1">
      <c r="A109"/>
      <c r="B109" s="15"/>
      <c r="J109" s="4"/>
      <c r="N109" s="3">
        <v>22</v>
      </c>
      <c r="W109" s="20"/>
      <c r="X109"/>
      <c r="Y109"/>
      <c r="Z109"/>
      <c r="AA109"/>
      <c r="AB109"/>
      <c r="AC109"/>
      <c r="AD109"/>
      <c r="AE109"/>
    </row>
    <row r="110" spans="1:31" s="3" customFormat="1">
      <c r="A110"/>
      <c r="B110" s="15"/>
      <c r="J110" s="4"/>
      <c r="N110" s="3">
        <v>19</v>
      </c>
      <c r="W110" s="20"/>
      <c r="X110"/>
      <c r="Y110"/>
      <c r="Z110"/>
      <c r="AA110"/>
      <c r="AB110"/>
      <c r="AC110"/>
      <c r="AD110"/>
      <c r="AE110"/>
    </row>
    <row r="111" spans="1:31" s="3" customFormat="1">
      <c r="A111"/>
      <c r="B111" s="15"/>
      <c r="J111" s="4"/>
      <c r="N111" s="3">
        <v>22</v>
      </c>
      <c r="W111" s="20"/>
      <c r="X111"/>
      <c r="Y111"/>
      <c r="Z111"/>
      <c r="AA111"/>
      <c r="AB111"/>
      <c r="AC111"/>
      <c r="AD111"/>
      <c r="AE111"/>
    </row>
  </sheetData>
  <autoFilter ref="A6:AE51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61"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L25:L29"/>
    <mergeCell ref="M25:R29"/>
    <mergeCell ref="S25:S29"/>
    <mergeCell ref="T25:U29"/>
    <mergeCell ref="V25:V29"/>
    <mergeCell ref="W25:W29"/>
    <mergeCell ref="W18:W19"/>
    <mergeCell ref="L20:L24"/>
    <mergeCell ref="M20:R24"/>
    <mergeCell ref="S20:S24"/>
    <mergeCell ref="T20:U24"/>
    <mergeCell ref="V20:V24"/>
    <mergeCell ref="W20:W24"/>
    <mergeCell ref="L30:V30"/>
    <mergeCell ref="M31:R31"/>
    <mergeCell ref="W31:W35"/>
    <mergeCell ref="L32:L33"/>
    <mergeCell ref="M32:R33"/>
    <mergeCell ref="S32:S33"/>
    <mergeCell ref="T32:U33"/>
    <mergeCell ref="V32:V33"/>
    <mergeCell ref="L34:L35"/>
    <mergeCell ref="M34:R35"/>
    <mergeCell ref="M38:R38"/>
    <mergeCell ref="A39:B39"/>
    <mergeCell ref="F39:G39"/>
    <mergeCell ref="M39:R39"/>
    <mergeCell ref="A40:N40"/>
    <mergeCell ref="O40:V40"/>
    <mergeCell ref="S34:S35"/>
    <mergeCell ref="T34:U35"/>
    <mergeCell ref="V34:V35"/>
    <mergeCell ref="L36:L37"/>
    <mergeCell ref="M36:R37"/>
    <mergeCell ref="S36:S37"/>
    <mergeCell ref="T36:U37"/>
    <mergeCell ref="V36:V37"/>
    <mergeCell ref="C41:D41"/>
    <mergeCell ref="E41:G41"/>
    <mergeCell ref="H41:J41"/>
    <mergeCell ref="K41:N41"/>
    <mergeCell ref="O41:R41"/>
    <mergeCell ref="C42:D42"/>
    <mergeCell ref="E42:G42"/>
    <mergeCell ref="H42:J42"/>
    <mergeCell ref="K42:N42"/>
    <mergeCell ref="O42:R42"/>
    <mergeCell ref="C43:D43"/>
    <mergeCell ref="E43:G43"/>
    <mergeCell ref="H43:J43"/>
    <mergeCell ref="K43:N43"/>
    <mergeCell ref="O43:R43"/>
    <mergeCell ref="C44:D44"/>
    <mergeCell ref="E44:G44"/>
    <mergeCell ref="H44:J44"/>
    <mergeCell ref="K44:N44"/>
    <mergeCell ref="O44:R44"/>
    <mergeCell ref="C45:D45"/>
    <mergeCell ref="E45:G45"/>
    <mergeCell ref="H45:J45"/>
    <mergeCell ref="K45:N45"/>
    <mergeCell ref="O45:V4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8:D48"/>
    <mergeCell ref="E48:G48"/>
    <mergeCell ref="H48:J48"/>
    <mergeCell ref="K48:N48"/>
    <mergeCell ref="O48:V48"/>
    <mergeCell ref="A51:V51"/>
    <mergeCell ref="A52:V52"/>
    <mergeCell ref="A53:N53"/>
    <mergeCell ref="O53:V53"/>
    <mergeCell ref="A54:N58"/>
    <mergeCell ref="O54:V58"/>
    <mergeCell ref="C49:D49"/>
    <mergeCell ref="E49:G49"/>
    <mergeCell ref="H49:J49"/>
    <mergeCell ref="K49:N49"/>
    <mergeCell ref="O49:V49"/>
    <mergeCell ref="C50:D50"/>
    <mergeCell ref="E50:G50"/>
    <mergeCell ref="H50:J50"/>
    <mergeCell ref="K50:N50"/>
    <mergeCell ref="O50:V50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4822-C6D1-4F79-8943-648AC7EF5A9E}">
  <sheetPr>
    <pageSetUpPr fitToPage="1"/>
  </sheetPr>
  <dimension ref="A1:AH108"/>
  <sheetViews>
    <sheetView rightToLeft="1" view="pageBreakPreview" topLeftCell="A22" zoomScale="40" zoomScaleNormal="110" zoomScaleSheetLayoutView="40" workbookViewId="0">
      <selection activeCell="M25" sqref="M25:R29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86" t="s">
        <v>181</v>
      </c>
      <c r="S1" s="297" t="s">
        <v>265</v>
      </c>
      <c r="T1" s="297"/>
      <c r="U1" s="462" t="s">
        <v>266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87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87"/>
      <c r="S3" s="299"/>
      <c r="T3" s="299"/>
      <c r="U3" s="464"/>
      <c r="V3" s="465"/>
      <c r="W3" s="16"/>
      <c r="Y3">
        <f>20780-20000</f>
        <v>780</v>
      </c>
    </row>
    <row r="4" spans="1:34" ht="54.7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71.2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250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/>
      <c r="J9" s="40">
        <v>1</v>
      </c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2</v>
      </c>
      <c r="D10" s="40">
        <v>2</v>
      </c>
      <c r="E10" s="40"/>
      <c r="F10" s="40">
        <v>4</v>
      </c>
      <c r="G10" s="66" t="s">
        <v>110</v>
      </c>
      <c r="H10" s="81">
        <v>1</v>
      </c>
      <c r="I10" s="81"/>
      <c r="J10" s="40">
        <v>1</v>
      </c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/>
      <c r="J11" s="40">
        <v>6</v>
      </c>
      <c r="K11" s="40"/>
      <c r="L11" s="186">
        <v>2</v>
      </c>
      <c r="M11" s="390" t="s">
        <v>267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235605</v>
      </c>
      <c r="W11" s="236">
        <f>V11+T11</f>
        <v>235605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/>
      <c r="E12" s="40">
        <v>1</v>
      </c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1</v>
      </c>
      <c r="D14" s="40">
        <v>1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2</v>
      </c>
      <c r="E15" s="40">
        <v>1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208</v>
      </c>
      <c r="N16" s="432"/>
      <c r="O16" s="432"/>
      <c r="P16" s="432"/>
      <c r="Q16" s="432"/>
      <c r="R16" s="433"/>
      <c r="S16" s="458" t="s">
        <v>85</v>
      </c>
      <c r="T16" s="360">
        <v>0</v>
      </c>
      <c r="U16" s="361"/>
      <c r="V16" s="445">
        <v>52636</v>
      </c>
      <c r="W16" s="47">
        <f>V16+T16</f>
        <v>52636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75" t="s">
        <v>209</v>
      </c>
      <c r="N18" s="476"/>
      <c r="O18" s="476"/>
      <c r="P18" s="476"/>
      <c r="Q18" s="476"/>
      <c r="R18" s="477"/>
      <c r="S18" s="160" t="s">
        <v>85</v>
      </c>
      <c r="T18" s="360">
        <v>0</v>
      </c>
      <c r="U18" s="361"/>
      <c r="V18" s="445">
        <v>107756</v>
      </c>
      <c r="W18" s="178">
        <f>V18+T18</f>
        <v>107756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4</v>
      </c>
      <c r="J19" s="40">
        <v>1</v>
      </c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70.5" customHeight="1">
      <c r="A20" s="84">
        <v>13</v>
      </c>
      <c r="B20" s="27" t="s">
        <v>117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251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41477</v>
      </c>
      <c r="W20" s="178">
        <f>V20+T20</f>
        <v>41477</v>
      </c>
      <c r="Z20" s="1"/>
    </row>
    <row r="21" spans="1:27" ht="70.5" customHeight="1">
      <c r="A21" s="84">
        <v>14</v>
      </c>
      <c r="B21" s="14" t="s">
        <v>94</v>
      </c>
      <c r="C21" s="40">
        <v>1</v>
      </c>
      <c r="D21" s="40"/>
      <c r="E21" s="40">
        <v>1</v>
      </c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31" t="s">
        <v>225</v>
      </c>
      <c r="C22" s="40">
        <v>1</v>
      </c>
      <c r="D22" s="40">
        <v>1</v>
      </c>
      <c r="E22" s="40"/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27" t="s">
        <v>8</v>
      </c>
      <c r="C23" s="59">
        <v>11</v>
      </c>
      <c r="D23" s="40">
        <v>4</v>
      </c>
      <c r="E23" s="40">
        <v>6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87"/>
      <c r="M23" s="215"/>
      <c r="N23" s="216"/>
      <c r="O23" s="216"/>
      <c r="P23" s="216"/>
      <c r="Q23" s="216"/>
      <c r="R23" s="217"/>
      <c r="S23" s="443"/>
      <c r="T23" s="369"/>
      <c r="U23" s="370"/>
      <c r="V23" s="446"/>
      <c r="W23" s="178"/>
      <c r="Z23" s="1"/>
    </row>
    <row r="24" spans="1:27" ht="70.5" customHeight="1">
      <c r="A24" s="84">
        <v>17</v>
      </c>
      <c r="B24" s="27" t="s">
        <v>63</v>
      </c>
      <c r="C24" s="59">
        <v>10</v>
      </c>
      <c r="D24" s="40">
        <v>5</v>
      </c>
      <c r="E24" s="40">
        <v>5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215"/>
      <c r="N24" s="216"/>
      <c r="O24" s="216"/>
      <c r="P24" s="216"/>
      <c r="Q24" s="216"/>
      <c r="R24" s="217"/>
      <c r="S24" s="444"/>
      <c r="T24" s="371"/>
      <c r="U24" s="372"/>
      <c r="V24" s="447"/>
      <c r="W24" s="178"/>
      <c r="Z24" s="1"/>
    </row>
    <row r="25" spans="1:27" ht="51.95" customHeight="1">
      <c r="A25" s="84">
        <v>18</v>
      </c>
      <c r="B25" s="27" t="s">
        <v>17</v>
      </c>
      <c r="C25" s="40">
        <v>5</v>
      </c>
      <c r="D25" s="40">
        <v>4</v>
      </c>
      <c r="E25" s="40">
        <v>1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6" t="s">
        <v>268</v>
      </c>
      <c r="N25" s="467"/>
      <c r="O25" s="467"/>
      <c r="P25" s="467"/>
      <c r="Q25" s="467"/>
      <c r="R25" s="468"/>
      <c r="S25" s="442" t="s">
        <v>85</v>
      </c>
      <c r="T25" s="360">
        <v>932</v>
      </c>
      <c r="U25" s="361"/>
      <c r="V25" s="445">
        <v>35545</v>
      </c>
      <c r="W25" s="209">
        <f>V25+T25</f>
        <v>36477</v>
      </c>
      <c r="Z25" s="1"/>
    </row>
    <row r="26" spans="1:27" ht="51.95" customHeight="1">
      <c r="A26" s="84">
        <v>19</v>
      </c>
      <c r="B26" s="27" t="s">
        <v>43</v>
      </c>
      <c r="C26" s="40">
        <v>1</v>
      </c>
      <c r="D26" s="40"/>
      <c r="E26" s="40">
        <v>1</v>
      </c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51.95" customHeight="1">
      <c r="A27" s="84">
        <v>20</v>
      </c>
      <c r="B27" s="27" t="s">
        <v>45</v>
      </c>
      <c r="C27" s="40">
        <v>2</v>
      </c>
      <c r="D27" s="40"/>
      <c r="E27" s="40">
        <v>2</v>
      </c>
      <c r="F27" s="40">
        <v>20</v>
      </c>
      <c r="G27" s="27" t="s">
        <v>53</v>
      </c>
      <c r="H27" s="40">
        <v>18</v>
      </c>
      <c r="I27" s="40">
        <v>18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51.95" customHeight="1">
      <c r="A28" s="84">
        <v>21</v>
      </c>
      <c r="B28" s="27" t="s">
        <v>58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51.95" customHeight="1">
      <c r="A29" s="84">
        <v>22</v>
      </c>
      <c r="B29" s="27" t="s">
        <v>101</v>
      </c>
      <c r="C29" s="40">
        <v>1</v>
      </c>
      <c r="D29" s="40">
        <v>1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44</v>
      </c>
      <c r="C30" s="40">
        <v>2</v>
      </c>
      <c r="D30" s="40">
        <v>2</v>
      </c>
      <c r="E30" s="40"/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60</v>
      </c>
      <c r="C31" s="40">
        <v>2</v>
      </c>
      <c r="D31" s="40">
        <v>1</v>
      </c>
      <c r="E31" s="40">
        <v>1</v>
      </c>
      <c r="F31" s="40">
        <v>24</v>
      </c>
      <c r="G31" s="27" t="s">
        <v>97</v>
      </c>
      <c r="H31" s="40">
        <v>2</v>
      </c>
      <c r="I31" s="40"/>
      <c r="J31" s="40">
        <v>2</v>
      </c>
      <c r="K31" s="40"/>
      <c r="L31" s="40">
        <v>1</v>
      </c>
      <c r="M31" s="171" t="s">
        <v>253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62</v>
      </c>
      <c r="C32" s="40">
        <v>3</v>
      </c>
      <c r="D32" s="40">
        <v>3</v>
      </c>
      <c r="E32" s="40"/>
      <c r="F32" s="40">
        <v>25</v>
      </c>
      <c r="G32" s="86" t="s">
        <v>220</v>
      </c>
      <c r="H32" s="40">
        <v>1</v>
      </c>
      <c r="I32" s="40"/>
      <c r="J32" s="40">
        <v>1</v>
      </c>
      <c r="K32" s="40"/>
      <c r="L32" s="152">
        <v>2</v>
      </c>
      <c r="M32" s="180"/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36</v>
      </c>
      <c r="C33" s="40">
        <v>1</v>
      </c>
      <c r="D33" s="40">
        <v>1</v>
      </c>
      <c r="E33" s="40"/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93</v>
      </c>
      <c r="C34" s="40">
        <v>1</v>
      </c>
      <c r="D34" s="40">
        <v>1</v>
      </c>
      <c r="E34" s="40"/>
      <c r="F34" s="40"/>
      <c r="G34" s="27"/>
      <c r="H34" s="40"/>
      <c r="I34" s="40"/>
      <c r="J34" s="40"/>
      <c r="K34" s="40"/>
      <c r="L34" s="186">
        <v>3</v>
      </c>
      <c r="M34" s="180"/>
      <c r="N34" s="181"/>
      <c r="O34" s="181"/>
      <c r="P34" s="181"/>
      <c r="Q34" s="181"/>
      <c r="R34" s="182"/>
      <c r="S34" s="160"/>
      <c r="T34" s="162"/>
      <c r="U34" s="163"/>
      <c r="V34" s="166"/>
      <c r="W34" s="179"/>
      <c r="Z34" s="1"/>
    </row>
    <row r="35" spans="1:27" ht="51.95" customHeight="1">
      <c r="A35" s="84">
        <v>28</v>
      </c>
      <c r="B35" s="27" t="s">
        <v>46</v>
      </c>
      <c r="C35" s="40">
        <v>1</v>
      </c>
      <c r="D35" s="40"/>
      <c r="E35" s="40">
        <v>1</v>
      </c>
      <c r="F35" s="40"/>
      <c r="G35" s="27"/>
      <c r="H35" s="40"/>
      <c r="I35" s="40"/>
      <c r="J35" s="40"/>
      <c r="K35" s="40"/>
      <c r="L35" s="186"/>
      <c r="M35" s="183"/>
      <c r="N35" s="184"/>
      <c r="O35" s="184"/>
      <c r="P35" s="184"/>
      <c r="Q35" s="184"/>
      <c r="R35" s="185"/>
      <c r="S35" s="161"/>
      <c r="T35" s="164"/>
      <c r="U35" s="165"/>
      <c r="V35" s="167"/>
      <c r="W35" s="179"/>
      <c r="Z35" s="1"/>
    </row>
    <row r="36" spans="1:27" ht="63.75" customHeight="1">
      <c r="A36" s="150" t="s">
        <v>9</v>
      </c>
      <c r="B36" s="151"/>
      <c r="C36" s="61">
        <f>SUM(C7:C35)</f>
        <v>61</v>
      </c>
      <c r="D36" s="61">
        <f>SUM(D7:D35)</f>
        <v>37</v>
      </c>
      <c r="E36" s="61">
        <f>SUM(E7:E35)</f>
        <v>23</v>
      </c>
      <c r="F36" s="151" t="s">
        <v>9</v>
      </c>
      <c r="G36" s="151"/>
      <c r="H36" s="64">
        <f>SUM(H7:H35)</f>
        <v>72</v>
      </c>
      <c r="I36" s="64">
        <f>SUM(I7:I35)</f>
        <v>54</v>
      </c>
      <c r="J36" s="64">
        <f>SUM(J7:J35)</f>
        <v>14</v>
      </c>
      <c r="K36" s="64">
        <f>SUM(K7:K35)</f>
        <v>4</v>
      </c>
      <c r="L36" s="76"/>
      <c r="M36" s="147"/>
      <c r="N36" s="148"/>
      <c r="O36" s="148"/>
      <c r="P36" s="148"/>
      <c r="Q36" s="148"/>
      <c r="R36" s="149"/>
      <c r="S36" s="48"/>
      <c r="T36" s="52"/>
      <c r="U36" s="53"/>
      <c r="V36" s="55"/>
      <c r="W36" s="16"/>
    </row>
    <row r="37" spans="1:27" ht="49.5" customHeight="1">
      <c r="A37" s="456" t="s">
        <v>81</v>
      </c>
      <c r="B37" s="457"/>
      <c r="C37" s="457"/>
      <c r="D37" s="457"/>
      <c r="E37" s="457"/>
      <c r="F37" s="457"/>
      <c r="G37" s="457"/>
      <c r="H37" s="457"/>
      <c r="I37" s="457"/>
      <c r="J37" s="457"/>
      <c r="K37" s="457"/>
      <c r="L37" s="457"/>
      <c r="M37" s="457"/>
      <c r="N37" s="457"/>
      <c r="O37" s="132" t="s">
        <v>33</v>
      </c>
      <c r="P37" s="132"/>
      <c r="Q37" s="132"/>
      <c r="R37" s="132"/>
      <c r="S37" s="132"/>
      <c r="T37" s="132"/>
      <c r="U37" s="132"/>
      <c r="V37" s="133"/>
      <c r="W37" s="16"/>
    </row>
    <row r="38" spans="1:27" ht="54" customHeight="1">
      <c r="A38" s="11" t="s">
        <v>2</v>
      </c>
      <c r="B38" s="27" t="s">
        <v>5</v>
      </c>
      <c r="C38" s="143" t="s">
        <v>24</v>
      </c>
      <c r="D38" s="143"/>
      <c r="E38" s="143" t="s">
        <v>68</v>
      </c>
      <c r="F38" s="143"/>
      <c r="G38" s="143"/>
      <c r="H38" s="143" t="s">
        <v>42</v>
      </c>
      <c r="I38" s="143"/>
      <c r="J38" s="143"/>
      <c r="K38" s="143" t="s">
        <v>41</v>
      </c>
      <c r="L38" s="143"/>
      <c r="M38" s="143"/>
      <c r="N38" s="143"/>
      <c r="O38" s="144" t="s">
        <v>31</v>
      </c>
      <c r="P38" s="145"/>
      <c r="Q38" s="145"/>
      <c r="R38" s="146"/>
      <c r="S38" s="62" t="s">
        <v>75</v>
      </c>
      <c r="T38" s="62" t="s">
        <v>77</v>
      </c>
      <c r="U38" s="62" t="s">
        <v>76</v>
      </c>
      <c r="V38" s="63" t="s">
        <v>32</v>
      </c>
      <c r="W38" s="16"/>
    </row>
    <row r="39" spans="1:27" ht="116.25" customHeight="1">
      <c r="A39" s="85">
        <v>1</v>
      </c>
      <c r="B39" s="74" t="s">
        <v>135</v>
      </c>
      <c r="C39" s="134"/>
      <c r="D39" s="135"/>
      <c r="E39" s="109">
        <v>100</v>
      </c>
      <c r="F39" s="111"/>
      <c r="G39" s="110"/>
      <c r="H39" s="134">
        <v>0</v>
      </c>
      <c r="I39" s="136"/>
      <c r="J39" s="135"/>
      <c r="K39" s="134">
        <v>99</v>
      </c>
      <c r="L39" s="136"/>
      <c r="M39" s="136"/>
      <c r="N39" s="135"/>
      <c r="O39" s="140"/>
      <c r="P39" s="141"/>
      <c r="Q39" s="141"/>
      <c r="R39" s="142"/>
      <c r="S39" s="56"/>
      <c r="T39" s="56"/>
      <c r="U39" s="57"/>
      <c r="V39" s="58"/>
      <c r="W39" s="80">
        <f>K39+H39</f>
        <v>99</v>
      </c>
      <c r="Y39" s="8"/>
    </row>
    <row r="40" spans="1:27" ht="108" customHeight="1">
      <c r="A40" s="85">
        <v>2</v>
      </c>
      <c r="B40" s="74" t="s">
        <v>136</v>
      </c>
      <c r="C40" s="117"/>
      <c r="D40" s="118"/>
      <c r="E40" s="109">
        <v>2587</v>
      </c>
      <c r="F40" s="111"/>
      <c r="G40" s="110"/>
      <c r="H40" s="134">
        <v>0</v>
      </c>
      <c r="I40" s="136"/>
      <c r="J40" s="135"/>
      <c r="K40" s="134">
        <v>683</v>
      </c>
      <c r="L40" s="136"/>
      <c r="M40" s="136"/>
      <c r="N40" s="135"/>
      <c r="O40" s="140"/>
      <c r="P40" s="141"/>
      <c r="Q40" s="141"/>
      <c r="R40" s="142"/>
      <c r="S40" s="56"/>
      <c r="T40" s="56"/>
      <c r="U40" s="57"/>
      <c r="V40" s="58"/>
      <c r="W40" s="80">
        <f t="shared" ref="W40:W47" si="2">K40+H40</f>
        <v>683</v>
      </c>
      <c r="X40" s="2"/>
      <c r="Y40" s="7"/>
      <c r="Z40" s="7"/>
      <c r="AA40" s="9"/>
    </row>
    <row r="41" spans="1:27" ht="100.5" customHeight="1">
      <c r="A41" s="85">
        <v>3</v>
      </c>
      <c r="B41" s="74" t="s">
        <v>80</v>
      </c>
      <c r="C41" s="122"/>
      <c r="D41" s="123"/>
      <c r="E41" s="109">
        <v>148000</v>
      </c>
      <c r="F41" s="111"/>
      <c r="G41" s="110"/>
      <c r="H41" s="109">
        <v>800</v>
      </c>
      <c r="I41" s="111"/>
      <c r="J41" s="110"/>
      <c r="K41" s="109">
        <v>137156</v>
      </c>
      <c r="L41" s="111"/>
      <c r="M41" s="111"/>
      <c r="N41" s="110"/>
      <c r="O41" s="483"/>
      <c r="P41" s="484"/>
      <c r="Q41" s="484"/>
      <c r="R41" s="485"/>
      <c r="S41" s="56"/>
      <c r="T41" s="56"/>
      <c r="U41" s="57"/>
      <c r="V41" s="58"/>
      <c r="W41" s="78">
        <f>K41+H41</f>
        <v>137956</v>
      </c>
      <c r="X41" s="2"/>
      <c r="Y41" s="7"/>
      <c r="Z41" s="7"/>
      <c r="AA41" s="9"/>
    </row>
    <row r="42" spans="1:27" ht="65.099999999999994" customHeight="1">
      <c r="A42" s="85">
        <v>4</v>
      </c>
      <c r="B42" s="74" t="s">
        <v>56</v>
      </c>
      <c r="C42" s="117"/>
      <c r="D42" s="118"/>
      <c r="E42" s="109">
        <v>20920</v>
      </c>
      <c r="F42" s="111"/>
      <c r="G42" s="110"/>
      <c r="H42" s="109">
        <v>0</v>
      </c>
      <c r="I42" s="111"/>
      <c r="J42" s="110"/>
      <c r="K42" s="109">
        <v>15900</v>
      </c>
      <c r="L42" s="111"/>
      <c r="M42" s="111"/>
      <c r="N42" s="110"/>
      <c r="O42" s="132" t="s">
        <v>25</v>
      </c>
      <c r="P42" s="132"/>
      <c r="Q42" s="132"/>
      <c r="R42" s="132"/>
      <c r="S42" s="132"/>
      <c r="T42" s="132"/>
      <c r="U42" s="132"/>
      <c r="V42" s="133"/>
      <c r="W42" s="22">
        <f t="shared" si="2"/>
        <v>15900</v>
      </c>
      <c r="X42" s="2"/>
      <c r="Y42" s="7"/>
      <c r="Z42" s="7"/>
      <c r="AA42" s="9"/>
    </row>
    <row r="43" spans="1:27" ht="65.099999999999994" customHeight="1">
      <c r="A43" s="85">
        <v>5</v>
      </c>
      <c r="B43" s="74" t="s">
        <v>114</v>
      </c>
      <c r="C43" s="122">
        <v>11</v>
      </c>
      <c r="D43" s="123"/>
      <c r="E43" s="109">
        <v>1305</v>
      </c>
      <c r="F43" s="111"/>
      <c r="G43" s="110"/>
      <c r="H43" s="109">
        <v>11</v>
      </c>
      <c r="I43" s="111"/>
      <c r="J43" s="110"/>
      <c r="K43" s="109">
        <v>1305</v>
      </c>
      <c r="L43" s="111"/>
      <c r="M43" s="111"/>
      <c r="N43" s="110"/>
      <c r="O43" s="126" t="s">
        <v>107</v>
      </c>
      <c r="P43" s="127"/>
      <c r="Q43" s="127"/>
      <c r="R43" s="127"/>
      <c r="S43" s="127"/>
      <c r="T43" s="127"/>
      <c r="U43" s="127"/>
      <c r="V43" s="128"/>
      <c r="W43" s="22">
        <f>K43+H43</f>
        <v>1316</v>
      </c>
      <c r="X43" s="2"/>
      <c r="Y43" s="7"/>
      <c r="Z43" s="7"/>
      <c r="AA43" s="9"/>
    </row>
    <row r="44" spans="1:27" ht="65.099999999999994" customHeight="1">
      <c r="A44" s="85">
        <v>6</v>
      </c>
      <c r="B44" s="74" t="s">
        <v>115</v>
      </c>
      <c r="C44" s="122">
        <v>80</v>
      </c>
      <c r="D44" s="123"/>
      <c r="E44" s="109">
        <v>7837</v>
      </c>
      <c r="F44" s="111"/>
      <c r="G44" s="110"/>
      <c r="H44" s="109">
        <v>80</v>
      </c>
      <c r="I44" s="111"/>
      <c r="J44" s="110"/>
      <c r="K44" s="109">
        <v>7837</v>
      </c>
      <c r="L44" s="111"/>
      <c r="M44" s="111"/>
      <c r="N44" s="110"/>
      <c r="O44" s="126" t="s">
        <v>86</v>
      </c>
      <c r="P44" s="127"/>
      <c r="Q44" s="127"/>
      <c r="R44" s="127"/>
      <c r="S44" s="127"/>
      <c r="T44" s="127"/>
      <c r="U44" s="127"/>
      <c r="V44" s="128"/>
      <c r="W44" s="23">
        <f>K44+H44</f>
        <v>7917</v>
      </c>
      <c r="X44" s="2"/>
      <c r="Y44" s="7"/>
      <c r="Z44" s="7"/>
      <c r="AA44" s="9"/>
    </row>
    <row r="45" spans="1:27" ht="65.099999999999994" customHeight="1">
      <c r="A45" s="85">
        <v>7</v>
      </c>
      <c r="B45" s="74" t="s">
        <v>79</v>
      </c>
      <c r="C45" s="117"/>
      <c r="D45" s="118"/>
      <c r="E45" s="109">
        <v>9260</v>
      </c>
      <c r="F45" s="111"/>
      <c r="G45" s="110"/>
      <c r="H45" s="109">
        <v>0</v>
      </c>
      <c r="I45" s="111"/>
      <c r="J45" s="110"/>
      <c r="K45" s="109">
        <v>7980</v>
      </c>
      <c r="L45" s="111"/>
      <c r="M45" s="111"/>
      <c r="N45" s="110"/>
      <c r="O45" s="119" t="s">
        <v>87</v>
      </c>
      <c r="P45" s="120"/>
      <c r="Q45" s="120"/>
      <c r="R45" s="120"/>
      <c r="S45" s="120"/>
      <c r="T45" s="120"/>
      <c r="U45" s="120"/>
      <c r="V45" s="121"/>
      <c r="W45" s="22">
        <f t="shared" si="2"/>
        <v>7980</v>
      </c>
      <c r="X45" s="2"/>
      <c r="Y45" s="7"/>
      <c r="Z45" s="7"/>
      <c r="AA45" s="9"/>
    </row>
    <row r="46" spans="1:27" ht="65.099999999999994" customHeight="1">
      <c r="A46" s="85">
        <v>8</v>
      </c>
      <c r="B46" s="74" t="s">
        <v>98</v>
      </c>
      <c r="C46" s="122"/>
      <c r="D46" s="123"/>
      <c r="E46" s="109">
        <v>2938</v>
      </c>
      <c r="F46" s="111"/>
      <c r="G46" s="110"/>
      <c r="H46" s="109">
        <v>0</v>
      </c>
      <c r="I46" s="111"/>
      <c r="J46" s="110"/>
      <c r="K46" s="109">
        <v>400</v>
      </c>
      <c r="L46" s="111"/>
      <c r="M46" s="111"/>
      <c r="N46" s="110"/>
      <c r="O46" s="124" t="s">
        <v>96</v>
      </c>
      <c r="P46" s="124"/>
      <c r="Q46" s="124"/>
      <c r="R46" s="124"/>
      <c r="S46" s="124"/>
      <c r="T46" s="124"/>
      <c r="U46" s="124"/>
      <c r="V46" s="125"/>
      <c r="W46" s="22">
        <f t="shared" si="2"/>
        <v>400</v>
      </c>
      <c r="X46" s="2"/>
      <c r="Y46" s="7"/>
      <c r="Z46" s="7"/>
      <c r="AA46" s="9"/>
    </row>
    <row r="47" spans="1:27" ht="65.099999999999994" customHeight="1">
      <c r="A47" s="85">
        <v>9</v>
      </c>
      <c r="B47" s="74" t="s">
        <v>99</v>
      </c>
      <c r="C47" s="109"/>
      <c r="D47" s="110"/>
      <c r="E47" s="109">
        <v>1523</v>
      </c>
      <c r="F47" s="111"/>
      <c r="G47" s="110"/>
      <c r="H47" s="109">
        <v>0</v>
      </c>
      <c r="I47" s="111"/>
      <c r="J47" s="110"/>
      <c r="K47" s="109">
        <v>200</v>
      </c>
      <c r="L47" s="111"/>
      <c r="M47" s="111"/>
      <c r="N47" s="110"/>
      <c r="O47" s="399"/>
      <c r="P47" s="399"/>
      <c r="Q47" s="399"/>
      <c r="R47" s="399"/>
      <c r="S47" s="399"/>
      <c r="T47" s="399"/>
      <c r="U47" s="399"/>
      <c r="V47" s="400"/>
      <c r="W47" s="22">
        <f t="shared" si="2"/>
        <v>200</v>
      </c>
      <c r="X47" s="2"/>
      <c r="Y47" s="7"/>
      <c r="Z47" s="7"/>
      <c r="AA47" s="9"/>
    </row>
    <row r="48" spans="1:27" ht="69" customHeight="1">
      <c r="A48" s="488" t="s">
        <v>90</v>
      </c>
      <c r="B48" s="489"/>
      <c r="C48" s="489"/>
      <c r="D48" s="489"/>
      <c r="E48" s="489"/>
      <c r="F48" s="489"/>
      <c r="G48" s="489"/>
      <c r="H48" s="489"/>
      <c r="I48" s="489"/>
      <c r="J48" s="489"/>
      <c r="K48" s="489"/>
      <c r="L48" s="489"/>
      <c r="M48" s="489"/>
      <c r="N48" s="489"/>
      <c r="O48" s="489"/>
      <c r="P48" s="489"/>
      <c r="Q48" s="489"/>
      <c r="R48" s="489"/>
      <c r="S48" s="489"/>
      <c r="T48" s="489"/>
      <c r="U48" s="489"/>
      <c r="V48" s="490"/>
      <c r="W48" s="21"/>
      <c r="X48" s="2"/>
      <c r="Y48" s="7">
        <f>14050+100</f>
        <v>14150</v>
      </c>
      <c r="Z48" s="7"/>
      <c r="AA48" s="9"/>
    </row>
    <row r="49" spans="1:27" s="44" customFormat="1" ht="54" customHeight="1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5"/>
      <c r="W49" s="41"/>
      <c r="X49" s="42"/>
      <c r="Y49" s="42"/>
      <c r="Z49" s="42"/>
      <c r="AA49" s="43"/>
    </row>
    <row r="50" spans="1:27" ht="97.5" customHeight="1">
      <c r="A50" s="96" t="s">
        <v>88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8"/>
      <c r="O50" s="99" t="s">
        <v>18</v>
      </c>
      <c r="P50" s="99"/>
      <c r="Q50" s="99"/>
      <c r="R50" s="99"/>
      <c r="S50" s="99"/>
      <c r="T50" s="99"/>
      <c r="U50" s="99"/>
      <c r="V50" s="100"/>
    </row>
    <row r="51" spans="1:27" ht="63.75" customHeight="1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452" t="s">
        <v>67</v>
      </c>
      <c r="P51" s="452"/>
      <c r="Q51" s="452"/>
      <c r="R51" s="452"/>
      <c r="S51" s="452"/>
      <c r="T51" s="452"/>
      <c r="U51" s="452"/>
      <c r="V51" s="453"/>
    </row>
    <row r="52" spans="1:27" ht="45" customHeight="1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452"/>
      <c r="P52" s="452"/>
      <c r="Q52" s="452"/>
      <c r="R52" s="452"/>
      <c r="S52" s="452"/>
      <c r="T52" s="452"/>
      <c r="U52" s="452"/>
      <c r="V52" s="453"/>
    </row>
    <row r="53" spans="1:27" ht="4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/>
      <c r="P53" s="452"/>
      <c r="Q53" s="452"/>
      <c r="R53" s="452"/>
      <c r="S53" s="452"/>
      <c r="T53" s="452"/>
      <c r="U53" s="452"/>
      <c r="V53" s="453"/>
    </row>
    <row r="54" spans="1:27" ht="88.5" customHeight="1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452"/>
      <c r="P54" s="452"/>
      <c r="Q54" s="452"/>
      <c r="R54" s="452"/>
      <c r="S54" s="452"/>
      <c r="T54" s="452"/>
      <c r="U54" s="452"/>
      <c r="V54" s="453"/>
    </row>
    <row r="55" spans="1:27" ht="123.75" customHeight="1" thickBot="1">
      <c r="A55" s="103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454"/>
      <c r="P55" s="454"/>
      <c r="Q55" s="454"/>
      <c r="R55" s="454"/>
      <c r="S55" s="454"/>
      <c r="T55" s="454"/>
      <c r="U55" s="454"/>
      <c r="V55" s="455"/>
    </row>
    <row r="58" spans="1:27">
      <c r="S58" s="28"/>
      <c r="T58" s="28"/>
      <c r="U58" s="28"/>
    </row>
    <row r="59" spans="1:27">
      <c r="G59" s="88"/>
      <c r="H59" s="89"/>
      <c r="I59" s="89"/>
      <c r="J59" s="89"/>
      <c r="S59" s="28"/>
      <c r="T59" s="28"/>
      <c r="U59" s="29"/>
    </row>
    <row r="60" spans="1:27">
      <c r="G60" s="88"/>
      <c r="H60" s="89"/>
      <c r="I60" s="89"/>
      <c r="J60" s="89"/>
      <c r="S60" s="28"/>
      <c r="T60" s="28"/>
      <c r="U60" s="30"/>
    </row>
    <row r="61" spans="1:27">
      <c r="G61" s="88"/>
      <c r="H61" s="89"/>
      <c r="I61" s="89"/>
      <c r="J61" s="89"/>
      <c r="S61" s="28"/>
      <c r="T61" s="28"/>
      <c r="U61" s="28"/>
    </row>
    <row r="62" spans="1:27">
      <c r="G62" s="88"/>
      <c r="H62" s="89"/>
      <c r="I62" s="89"/>
      <c r="J62" s="89"/>
    </row>
    <row r="63" spans="1:27">
      <c r="G63" s="88"/>
      <c r="H63" s="89"/>
      <c r="I63" s="89"/>
      <c r="J63" s="89"/>
    </row>
    <row r="64" spans="1:27">
      <c r="G64" s="88"/>
      <c r="H64" s="89"/>
      <c r="I64" s="89"/>
      <c r="J64" s="89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>
      <c r="G67" s="88"/>
      <c r="H67" s="89"/>
      <c r="I67" s="89"/>
      <c r="J67" s="89"/>
    </row>
    <row r="68" spans="1:31" s="3" customFormat="1">
      <c r="A68"/>
      <c r="B68" s="15"/>
      <c r="G68" s="88"/>
      <c r="H68" s="89"/>
      <c r="I68" s="89"/>
      <c r="J68" s="89"/>
      <c r="W68" s="20"/>
      <c r="X68"/>
      <c r="Y68"/>
      <c r="Z68"/>
      <c r="AA68"/>
      <c r="AB68"/>
      <c r="AC68"/>
      <c r="AD68"/>
      <c r="AE68"/>
    </row>
    <row r="69" spans="1:31" s="3" customFormat="1">
      <c r="A69"/>
      <c r="B69" s="15"/>
      <c r="G69" s="88"/>
      <c r="H69" s="89"/>
      <c r="I69" s="89"/>
      <c r="J69" s="89"/>
      <c r="W69" s="20"/>
      <c r="X69"/>
      <c r="Y69"/>
      <c r="Z69"/>
      <c r="AA69"/>
      <c r="AB69"/>
      <c r="AC69"/>
      <c r="AD69"/>
      <c r="AE69"/>
    </row>
    <row r="70" spans="1:31" s="3" customFormat="1">
      <c r="A70"/>
      <c r="B70" s="15"/>
      <c r="G70" s="88"/>
      <c r="H70" s="89"/>
      <c r="I70" s="89"/>
      <c r="J70" s="89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G75" s="88"/>
      <c r="H75" s="89"/>
      <c r="I75" s="89"/>
      <c r="J75" s="89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J76" s="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J77" s="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N105" s="3">
        <v>24</v>
      </c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N106" s="3">
        <v>22</v>
      </c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19</v>
      </c>
      <c r="W107" s="20"/>
      <c r="X107"/>
      <c r="Y107"/>
      <c r="Z107"/>
      <c r="AA107"/>
      <c r="AB107"/>
      <c r="AC107"/>
      <c r="AD107"/>
      <c r="AE107"/>
    </row>
    <row r="108" spans="1:31" s="3" customFormat="1">
      <c r="A108"/>
      <c r="B108" s="15"/>
      <c r="J108" s="4"/>
      <c r="N108" s="3">
        <v>22</v>
      </c>
      <c r="W108" s="20"/>
      <c r="X108"/>
      <c r="Y108"/>
      <c r="Z108"/>
      <c r="AA108"/>
      <c r="AB108"/>
      <c r="AC108"/>
      <c r="AD108"/>
      <c r="AE108"/>
    </row>
  </sheetData>
  <autoFilter ref="A6:AE48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5">
    <mergeCell ref="A48:V48"/>
    <mergeCell ref="A49:V49"/>
    <mergeCell ref="A50:N50"/>
    <mergeCell ref="O50:V50"/>
    <mergeCell ref="A51:N55"/>
    <mergeCell ref="O51:V55"/>
    <mergeCell ref="C46:D46"/>
    <mergeCell ref="E46:G46"/>
    <mergeCell ref="H46:J46"/>
    <mergeCell ref="K46:N46"/>
    <mergeCell ref="O46:V46"/>
    <mergeCell ref="C47:D47"/>
    <mergeCell ref="E47:G47"/>
    <mergeCell ref="H47:J47"/>
    <mergeCell ref="K47:N47"/>
    <mergeCell ref="O47:V47"/>
    <mergeCell ref="C44:D44"/>
    <mergeCell ref="E44:G44"/>
    <mergeCell ref="H44:J44"/>
    <mergeCell ref="K44:N44"/>
    <mergeCell ref="O44:V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V42"/>
    <mergeCell ref="C43:D43"/>
    <mergeCell ref="E43:G43"/>
    <mergeCell ref="H43:J43"/>
    <mergeCell ref="K43:N43"/>
    <mergeCell ref="O43:V43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R41"/>
    <mergeCell ref="C38:D38"/>
    <mergeCell ref="E38:G38"/>
    <mergeCell ref="H38:J38"/>
    <mergeCell ref="K38:N38"/>
    <mergeCell ref="O38:R38"/>
    <mergeCell ref="C39:D39"/>
    <mergeCell ref="E39:G39"/>
    <mergeCell ref="H39:J39"/>
    <mergeCell ref="K39:N39"/>
    <mergeCell ref="O39:R39"/>
    <mergeCell ref="A36:B36"/>
    <mergeCell ref="F36:G36"/>
    <mergeCell ref="M36:R36"/>
    <mergeCell ref="A37:N37"/>
    <mergeCell ref="O37:V37"/>
    <mergeCell ref="S34:S35"/>
    <mergeCell ref="T34:U35"/>
    <mergeCell ref="V34:V35"/>
    <mergeCell ref="L30:V30"/>
    <mergeCell ref="M31:R31"/>
    <mergeCell ref="W31:W35"/>
    <mergeCell ref="L32:L33"/>
    <mergeCell ref="M32:R33"/>
    <mergeCell ref="S32:S33"/>
    <mergeCell ref="T32:U33"/>
    <mergeCell ref="V32:V33"/>
    <mergeCell ref="L34:L35"/>
    <mergeCell ref="M34:R35"/>
    <mergeCell ref="L25:L29"/>
    <mergeCell ref="M25:R29"/>
    <mergeCell ref="S25:S29"/>
    <mergeCell ref="T25:U29"/>
    <mergeCell ref="V25:V29"/>
    <mergeCell ref="W25:W29"/>
    <mergeCell ref="W18:W19"/>
    <mergeCell ref="L20:L24"/>
    <mergeCell ref="M20:R24"/>
    <mergeCell ref="S20:S24"/>
    <mergeCell ref="T20:U24"/>
    <mergeCell ref="V20:V24"/>
    <mergeCell ref="W20:W24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7C4D-EA3E-486E-854B-5966F22D67B0}">
  <sheetPr>
    <pageSetUpPr fitToPage="1"/>
  </sheetPr>
  <dimension ref="A1:AH107"/>
  <sheetViews>
    <sheetView rightToLeft="1" view="pageBreakPreview" topLeftCell="A30" zoomScale="40" zoomScaleNormal="110" zoomScaleSheetLayoutView="40" workbookViewId="0">
      <selection activeCell="E44" sqref="E44:G44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86" t="s">
        <v>140</v>
      </c>
      <c r="S1" s="297" t="s">
        <v>269</v>
      </c>
      <c r="T1" s="297"/>
      <c r="U1" s="462" t="s">
        <v>270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87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87"/>
      <c r="S3" s="299"/>
      <c r="T3" s="299"/>
      <c r="U3" s="464"/>
      <c r="V3" s="465"/>
      <c r="W3" s="16"/>
      <c r="Y3">
        <f>20780-20000</f>
        <v>780</v>
      </c>
    </row>
    <row r="4" spans="1:34" ht="54.7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71.2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228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/>
      <c r="J9" s="40">
        <v>1</v>
      </c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1</v>
      </c>
      <c r="D10" s="40">
        <v>1</v>
      </c>
      <c r="E10" s="40"/>
      <c r="F10" s="40">
        <v>4</v>
      </c>
      <c r="G10" s="66" t="s">
        <v>110</v>
      </c>
      <c r="H10" s="81">
        <v>1</v>
      </c>
      <c r="I10" s="81"/>
      <c r="J10" s="40">
        <v>1</v>
      </c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/>
      <c r="E11" s="40">
        <v>1</v>
      </c>
      <c r="F11" s="40">
        <v>5</v>
      </c>
      <c r="G11" s="66" t="s">
        <v>13</v>
      </c>
      <c r="H11" s="81">
        <v>6</v>
      </c>
      <c r="I11" s="81"/>
      <c r="J11" s="40">
        <v>6</v>
      </c>
      <c r="K11" s="40"/>
      <c r="L11" s="186">
        <v>2</v>
      </c>
      <c r="M11" s="390" t="s">
        <v>267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235605</v>
      </c>
      <c r="W11" s="236">
        <f>V11+T11</f>
        <v>235605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1</v>
      </c>
      <c r="D14" s="40">
        <v>1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4</v>
      </c>
      <c r="D15" s="40">
        <v>2</v>
      </c>
      <c r="E15" s="40">
        <v>2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0">
        <v>1400</v>
      </c>
      <c r="U16" s="361"/>
      <c r="V16" s="445">
        <v>54036</v>
      </c>
      <c r="W16" s="47">
        <f>V16+T16</f>
        <v>55436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75" t="s">
        <v>272</v>
      </c>
      <c r="N18" s="476"/>
      <c r="O18" s="476"/>
      <c r="P18" s="476"/>
      <c r="Q18" s="476"/>
      <c r="R18" s="477"/>
      <c r="S18" s="160" t="s">
        <v>85</v>
      </c>
      <c r="T18" s="360">
        <v>1400</v>
      </c>
      <c r="U18" s="361"/>
      <c r="V18" s="445">
        <v>109156</v>
      </c>
      <c r="W18" s="178">
        <f>V18+T18</f>
        <v>110556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4</v>
      </c>
      <c r="J19" s="40">
        <v>1</v>
      </c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70.5" customHeight="1">
      <c r="A20" s="84">
        <v>13</v>
      </c>
      <c r="B20" s="14" t="s">
        <v>94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212" t="s">
        <v>251</v>
      </c>
      <c r="N20" s="213"/>
      <c r="O20" s="213"/>
      <c r="P20" s="213"/>
      <c r="Q20" s="213"/>
      <c r="R20" s="214"/>
      <c r="S20" s="442" t="s">
        <v>85</v>
      </c>
      <c r="T20" s="367">
        <v>0</v>
      </c>
      <c r="U20" s="368"/>
      <c r="V20" s="445">
        <v>41477</v>
      </c>
      <c r="W20" s="178">
        <f>V20+T20</f>
        <v>41477</v>
      </c>
      <c r="Z20" s="1"/>
    </row>
    <row r="21" spans="1:27" ht="70.5" customHeight="1">
      <c r="A21" s="84">
        <v>14</v>
      </c>
      <c r="B21" s="31" t="s">
        <v>225</v>
      </c>
      <c r="C21" s="40">
        <v>1</v>
      </c>
      <c r="D21" s="40">
        <v>1</v>
      </c>
      <c r="E21" s="40"/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216"/>
      <c r="O21" s="216"/>
      <c r="P21" s="216"/>
      <c r="Q21" s="216"/>
      <c r="R21" s="217"/>
      <c r="S21" s="443"/>
      <c r="T21" s="369"/>
      <c r="U21" s="370"/>
      <c r="V21" s="446"/>
      <c r="W21" s="178"/>
      <c r="Z21" s="1"/>
    </row>
    <row r="22" spans="1:27" ht="70.5" customHeight="1">
      <c r="A22" s="84">
        <v>15</v>
      </c>
      <c r="B22" s="27" t="s">
        <v>8</v>
      </c>
      <c r="C22" s="59">
        <v>11</v>
      </c>
      <c r="D22" s="40">
        <v>4</v>
      </c>
      <c r="E22" s="40">
        <v>6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216"/>
      <c r="O22" s="216"/>
      <c r="P22" s="216"/>
      <c r="Q22" s="216"/>
      <c r="R22" s="217"/>
      <c r="S22" s="443"/>
      <c r="T22" s="369"/>
      <c r="U22" s="370"/>
      <c r="V22" s="446"/>
      <c r="W22" s="178"/>
      <c r="Z22" s="1"/>
    </row>
    <row r="23" spans="1:27" ht="70.5" customHeight="1">
      <c r="A23" s="84">
        <v>16</v>
      </c>
      <c r="B23" s="27" t="s">
        <v>63</v>
      </c>
      <c r="C23" s="59">
        <v>10</v>
      </c>
      <c r="D23" s="40">
        <v>5</v>
      </c>
      <c r="E23" s="40">
        <v>5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87"/>
      <c r="M23" s="215"/>
      <c r="N23" s="216"/>
      <c r="O23" s="216"/>
      <c r="P23" s="216"/>
      <c r="Q23" s="216"/>
      <c r="R23" s="217"/>
      <c r="S23" s="443"/>
      <c r="T23" s="369"/>
      <c r="U23" s="370"/>
      <c r="V23" s="446"/>
      <c r="W23" s="178"/>
      <c r="Z23" s="1"/>
    </row>
    <row r="24" spans="1:27" ht="70.5" customHeight="1">
      <c r="A24" s="84">
        <v>17</v>
      </c>
      <c r="B24" s="27" t="s">
        <v>17</v>
      </c>
      <c r="C24" s="40">
        <v>5</v>
      </c>
      <c r="D24" s="40">
        <v>4</v>
      </c>
      <c r="E24" s="40">
        <v>1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215"/>
      <c r="N24" s="216"/>
      <c r="O24" s="216"/>
      <c r="P24" s="216"/>
      <c r="Q24" s="216"/>
      <c r="R24" s="217"/>
      <c r="S24" s="444"/>
      <c r="T24" s="371"/>
      <c r="U24" s="372"/>
      <c r="V24" s="447"/>
      <c r="W24" s="178"/>
      <c r="Z24" s="1"/>
    </row>
    <row r="25" spans="1:27" ht="51.95" customHeight="1">
      <c r="A25" s="84">
        <v>18</v>
      </c>
      <c r="B25" s="27" t="s">
        <v>43</v>
      </c>
      <c r="C25" s="40">
        <v>1</v>
      </c>
      <c r="D25" s="40"/>
      <c r="E25" s="40">
        <v>1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6" t="s">
        <v>271</v>
      </c>
      <c r="N25" s="467"/>
      <c r="O25" s="467"/>
      <c r="P25" s="467"/>
      <c r="Q25" s="467"/>
      <c r="R25" s="468"/>
      <c r="S25" s="442" t="s">
        <v>85</v>
      </c>
      <c r="T25" s="360">
        <v>0</v>
      </c>
      <c r="U25" s="361"/>
      <c r="V25" s="445">
        <v>35545</v>
      </c>
      <c r="W25" s="209">
        <f>V25+T25</f>
        <v>35545</v>
      </c>
      <c r="Z25" s="1"/>
    </row>
    <row r="26" spans="1:27" ht="51.95" customHeight="1">
      <c r="A26" s="84">
        <v>19</v>
      </c>
      <c r="B26" s="27" t="s">
        <v>45</v>
      </c>
      <c r="C26" s="40">
        <v>2</v>
      </c>
      <c r="D26" s="40"/>
      <c r="E26" s="40">
        <v>2</v>
      </c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51.95" customHeight="1">
      <c r="A27" s="84">
        <v>20</v>
      </c>
      <c r="B27" s="27" t="s">
        <v>58</v>
      </c>
      <c r="C27" s="40">
        <v>1</v>
      </c>
      <c r="D27" s="40">
        <v>1</v>
      </c>
      <c r="E27" s="40"/>
      <c r="F27" s="40">
        <v>20</v>
      </c>
      <c r="G27" s="27" t="s">
        <v>53</v>
      </c>
      <c r="H27" s="40">
        <v>18</v>
      </c>
      <c r="I27" s="40">
        <v>18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51.95" customHeight="1">
      <c r="A28" s="84">
        <v>21</v>
      </c>
      <c r="B28" s="27" t="s">
        <v>101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51.95" customHeight="1">
      <c r="A29" s="84">
        <v>22</v>
      </c>
      <c r="B29" s="27" t="s">
        <v>44</v>
      </c>
      <c r="C29" s="40">
        <v>2</v>
      </c>
      <c r="D29" s="40">
        <v>2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60</v>
      </c>
      <c r="C30" s="40">
        <v>2</v>
      </c>
      <c r="D30" s="40">
        <v>1</v>
      </c>
      <c r="E30" s="40">
        <v>1</v>
      </c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62</v>
      </c>
      <c r="C31" s="40">
        <v>3</v>
      </c>
      <c r="D31" s="40">
        <v>3</v>
      </c>
      <c r="E31" s="40"/>
      <c r="F31" s="40">
        <v>24</v>
      </c>
      <c r="G31" s="27" t="s">
        <v>97</v>
      </c>
      <c r="H31" s="40">
        <v>2</v>
      </c>
      <c r="I31" s="40"/>
      <c r="J31" s="40"/>
      <c r="K31" s="40"/>
      <c r="L31" s="40">
        <v>1</v>
      </c>
      <c r="M31" s="171" t="s">
        <v>253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36</v>
      </c>
      <c r="C32" s="40">
        <v>1</v>
      </c>
      <c r="D32" s="40">
        <v>1</v>
      </c>
      <c r="E32" s="40"/>
      <c r="F32" s="40">
        <v>25</v>
      </c>
      <c r="G32" s="86" t="s">
        <v>220</v>
      </c>
      <c r="H32" s="40">
        <v>1</v>
      </c>
      <c r="I32" s="40"/>
      <c r="J32" s="40"/>
      <c r="K32" s="40"/>
      <c r="L32" s="152">
        <v>2</v>
      </c>
      <c r="M32" s="180"/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93</v>
      </c>
      <c r="C33" s="40">
        <v>1</v>
      </c>
      <c r="D33" s="40">
        <v>1</v>
      </c>
      <c r="E33" s="40"/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46</v>
      </c>
      <c r="C34" s="40">
        <v>1</v>
      </c>
      <c r="D34" s="40"/>
      <c r="E34" s="40">
        <v>1</v>
      </c>
      <c r="F34" s="40"/>
      <c r="G34" s="27"/>
      <c r="H34" s="40"/>
      <c r="I34" s="40"/>
      <c r="J34" s="40"/>
      <c r="K34" s="40"/>
      <c r="L34" s="152">
        <v>3</v>
      </c>
      <c r="M34" s="180"/>
      <c r="N34" s="181"/>
      <c r="O34" s="181"/>
      <c r="P34" s="181"/>
      <c r="Q34" s="181"/>
      <c r="R34" s="182"/>
      <c r="S34" s="90"/>
      <c r="T34" s="162"/>
      <c r="U34" s="163"/>
      <c r="V34" s="91"/>
      <c r="W34" s="179"/>
      <c r="Z34" s="1"/>
    </row>
    <row r="35" spans="1:27" ht="63.75" customHeight="1">
      <c r="A35" s="150" t="s">
        <v>9</v>
      </c>
      <c r="B35" s="151"/>
      <c r="C35" s="61">
        <f>SUM(C7:C34)</f>
        <v>60</v>
      </c>
      <c r="D35" s="61">
        <f>SUM(D7:D34)</f>
        <v>36</v>
      </c>
      <c r="E35" s="61">
        <f>SUM(E7:E34)</f>
        <v>23</v>
      </c>
      <c r="F35" s="151" t="s">
        <v>9</v>
      </c>
      <c r="G35" s="151"/>
      <c r="H35" s="64">
        <f>SUM(H7:H34)</f>
        <v>72</v>
      </c>
      <c r="I35" s="64">
        <f>SUM(I7:I34)</f>
        <v>54</v>
      </c>
      <c r="J35" s="64">
        <f>SUM(J7:J34)</f>
        <v>11</v>
      </c>
      <c r="K35" s="64">
        <f>SUM(K7:K34)</f>
        <v>4</v>
      </c>
      <c r="L35" s="153"/>
      <c r="M35" s="183"/>
      <c r="N35" s="184"/>
      <c r="O35" s="184"/>
      <c r="P35" s="184"/>
      <c r="Q35" s="184"/>
      <c r="R35" s="185"/>
      <c r="S35" s="48"/>
      <c r="T35" s="52"/>
      <c r="U35" s="53"/>
      <c r="V35" s="55"/>
      <c r="W35" s="16"/>
    </row>
    <row r="36" spans="1:27" ht="49.5" customHeight="1">
      <c r="A36" s="456" t="s">
        <v>81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132" t="s">
        <v>33</v>
      </c>
      <c r="P36" s="132"/>
      <c r="Q36" s="132"/>
      <c r="R36" s="132"/>
      <c r="S36" s="132"/>
      <c r="T36" s="132"/>
      <c r="U36" s="132"/>
      <c r="V36" s="133"/>
      <c r="W36" s="16"/>
    </row>
    <row r="37" spans="1:27" ht="54" customHeight="1">
      <c r="A37" s="11" t="s">
        <v>2</v>
      </c>
      <c r="B37" s="27" t="s">
        <v>5</v>
      </c>
      <c r="C37" s="143" t="s">
        <v>24</v>
      </c>
      <c r="D37" s="143"/>
      <c r="E37" s="143" t="s">
        <v>68</v>
      </c>
      <c r="F37" s="143"/>
      <c r="G37" s="143"/>
      <c r="H37" s="143" t="s">
        <v>42</v>
      </c>
      <c r="I37" s="143"/>
      <c r="J37" s="143"/>
      <c r="K37" s="143" t="s">
        <v>41</v>
      </c>
      <c r="L37" s="143"/>
      <c r="M37" s="143"/>
      <c r="N37" s="143"/>
      <c r="O37" s="144" t="s">
        <v>31</v>
      </c>
      <c r="P37" s="145"/>
      <c r="Q37" s="145"/>
      <c r="R37" s="146"/>
      <c r="S37" s="62" t="s">
        <v>75</v>
      </c>
      <c r="T37" s="62" t="s">
        <v>77</v>
      </c>
      <c r="U37" s="62" t="s">
        <v>76</v>
      </c>
      <c r="V37" s="63" t="s">
        <v>32</v>
      </c>
      <c r="W37" s="16"/>
    </row>
    <row r="38" spans="1:27" ht="116.25" customHeight="1">
      <c r="A38" s="85">
        <v>1</v>
      </c>
      <c r="B38" s="74" t="s">
        <v>135</v>
      </c>
      <c r="C38" s="134"/>
      <c r="D38" s="135"/>
      <c r="E38" s="109">
        <v>100</v>
      </c>
      <c r="F38" s="111"/>
      <c r="G38" s="110"/>
      <c r="H38" s="134">
        <v>0</v>
      </c>
      <c r="I38" s="136"/>
      <c r="J38" s="135"/>
      <c r="K38" s="134">
        <v>99</v>
      </c>
      <c r="L38" s="136"/>
      <c r="M38" s="136"/>
      <c r="N38" s="135"/>
      <c r="O38" s="140"/>
      <c r="P38" s="141"/>
      <c r="Q38" s="141"/>
      <c r="R38" s="142"/>
      <c r="S38" s="56"/>
      <c r="T38" s="56"/>
      <c r="U38" s="57"/>
      <c r="V38" s="58"/>
      <c r="W38" s="80">
        <f>K38+H38</f>
        <v>99</v>
      </c>
      <c r="Y38" s="8"/>
    </row>
    <row r="39" spans="1:27" ht="108" customHeight="1">
      <c r="A39" s="85">
        <v>2</v>
      </c>
      <c r="B39" s="74" t="s">
        <v>136</v>
      </c>
      <c r="C39" s="117"/>
      <c r="D39" s="118"/>
      <c r="E39" s="109">
        <v>2587</v>
      </c>
      <c r="F39" s="111"/>
      <c r="G39" s="110"/>
      <c r="H39" s="134">
        <v>0</v>
      </c>
      <c r="I39" s="136"/>
      <c r="J39" s="135"/>
      <c r="K39" s="134">
        <v>683</v>
      </c>
      <c r="L39" s="136"/>
      <c r="M39" s="136"/>
      <c r="N39" s="135"/>
      <c r="O39" s="140"/>
      <c r="P39" s="141"/>
      <c r="Q39" s="141"/>
      <c r="R39" s="142"/>
      <c r="S39" s="56"/>
      <c r="T39" s="56"/>
      <c r="U39" s="57"/>
      <c r="V39" s="58"/>
      <c r="W39" s="80">
        <f t="shared" ref="W39:W46" si="2">K39+H39</f>
        <v>683</v>
      </c>
      <c r="X39" s="2"/>
      <c r="Y39" s="7"/>
      <c r="Z39" s="7"/>
      <c r="AA39" s="9"/>
    </row>
    <row r="40" spans="1:27" ht="100.5" customHeight="1">
      <c r="A40" s="85">
        <v>3</v>
      </c>
      <c r="B40" s="74" t="s">
        <v>80</v>
      </c>
      <c r="C40" s="122"/>
      <c r="D40" s="123"/>
      <c r="E40" s="109">
        <v>148000</v>
      </c>
      <c r="F40" s="111"/>
      <c r="G40" s="110"/>
      <c r="H40" s="109">
        <v>280</v>
      </c>
      <c r="I40" s="111"/>
      <c r="J40" s="110"/>
      <c r="K40" s="109">
        <v>137436</v>
      </c>
      <c r="L40" s="111"/>
      <c r="M40" s="111"/>
      <c r="N40" s="110"/>
      <c r="O40" s="483"/>
      <c r="P40" s="484"/>
      <c r="Q40" s="484"/>
      <c r="R40" s="485"/>
      <c r="S40" s="56"/>
      <c r="T40" s="56"/>
      <c r="U40" s="57"/>
      <c r="V40" s="58"/>
      <c r="W40" s="78">
        <f>K40+H40</f>
        <v>137716</v>
      </c>
      <c r="X40" s="2"/>
      <c r="Y40" s="7"/>
      <c r="Z40" s="7"/>
      <c r="AA40" s="9"/>
    </row>
    <row r="41" spans="1:27" ht="65.099999999999994" customHeight="1">
      <c r="A41" s="85">
        <v>4</v>
      </c>
      <c r="B41" s="74" t="s">
        <v>56</v>
      </c>
      <c r="C41" s="117"/>
      <c r="D41" s="118"/>
      <c r="E41" s="109">
        <v>20920</v>
      </c>
      <c r="F41" s="111"/>
      <c r="G41" s="110"/>
      <c r="H41" s="109">
        <v>0</v>
      </c>
      <c r="I41" s="111"/>
      <c r="J41" s="110"/>
      <c r="K41" s="109">
        <v>15900</v>
      </c>
      <c r="L41" s="111"/>
      <c r="M41" s="111"/>
      <c r="N41" s="110"/>
      <c r="O41" s="132" t="s">
        <v>25</v>
      </c>
      <c r="P41" s="132"/>
      <c r="Q41" s="132"/>
      <c r="R41" s="132"/>
      <c r="S41" s="132"/>
      <c r="T41" s="132"/>
      <c r="U41" s="132"/>
      <c r="V41" s="133"/>
      <c r="W41" s="22">
        <f t="shared" si="2"/>
        <v>15900</v>
      </c>
      <c r="X41" s="2"/>
      <c r="Y41" s="7"/>
      <c r="Z41" s="7"/>
      <c r="AA41" s="9"/>
    </row>
    <row r="42" spans="1:27" ht="65.099999999999994" customHeight="1">
      <c r="A42" s="85">
        <v>5</v>
      </c>
      <c r="B42" s="74" t="s">
        <v>114</v>
      </c>
      <c r="C42" s="122">
        <v>11</v>
      </c>
      <c r="D42" s="123"/>
      <c r="E42" s="109">
        <v>1316</v>
      </c>
      <c r="F42" s="111"/>
      <c r="G42" s="110"/>
      <c r="H42" s="109">
        <v>11</v>
      </c>
      <c r="I42" s="111"/>
      <c r="J42" s="110"/>
      <c r="K42" s="109">
        <v>1316</v>
      </c>
      <c r="L42" s="111"/>
      <c r="M42" s="111"/>
      <c r="N42" s="110"/>
      <c r="O42" s="126" t="s">
        <v>107</v>
      </c>
      <c r="P42" s="127"/>
      <c r="Q42" s="127"/>
      <c r="R42" s="127"/>
      <c r="S42" s="127"/>
      <c r="T42" s="127"/>
      <c r="U42" s="127"/>
      <c r="V42" s="128"/>
      <c r="W42" s="22">
        <f>K42+H42</f>
        <v>1327</v>
      </c>
      <c r="X42" s="2"/>
      <c r="Y42" s="7"/>
      <c r="Z42" s="7"/>
      <c r="AA42" s="9"/>
    </row>
    <row r="43" spans="1:27" ht="65.099999999999994" customHeight="1">
      <c r="A43" s="85">
        <v>6</v>
      </c>
      <c r="B43" s="74" t="s">
        <v>115</v>
      </c>
      <c r="C43" s="122">
        <v>58</v>
      </c>
      <c r="D43" s="123"/>
      <c r="E43" s="109">
        <v>785</v>
      </c>
      <c r="F43" s="111"/>
      <c r="G43" s="110"/>
      <c r="H43" s="109">
        <v>58</v>
      </c>
      <c r="I43" s="111"/>
      <c r="J43" s="110"/>
      <c r="K43" s="109">
        <v>7895</v>
      </c>
      <c r="L43" s="111"/>
      <c r="M43" s="111"/>
      <c r="N43" s="110"/>
      <c r="O43" s="126" t="s">
        <v>86</v>
      </c>
      <c r="P43" s="127"/>
      <c r="Q43" s="127"/>
      <c r="R43" s="127"/>
      <c r="S43" s="127"/>
      <c r="T43" s="127"/>
      <c r="U43" s="127"/>
      <c r="V43" s="128"/>
      <c r="W43" s="23">
        <f>K43+H43</f>
        <v>7953</v>
      </c>
      <c r="X43" s="2"/>
      <c r="Y43" s="7"/>
      <c r="Z43" s="7"/>
      <c r="AA43" s="9"/>
    </row>
    <row r="44" spans="1:27" ht="65.099999999999994" customHeight="1">
      <c r="A44" s="85">
        <v>7</v>
      </c>
      <c r="B44" s="74" t="s">
        <v>79</v>
      </c>
      <c r="C44" s="117"/>
      <c r="D44" s="118"/>
      <c r="E44" s="109">
        <v>9260</v>
      </c>
      <c r="F44" s="111"/>
      <c r="G44" s="110"/>
      <c r="H44" s="109">
        <v>0</v>
      </c>
      <c r="I44" s="111"/>
      <c r="J44" s="110"/>
      <c r="K44" s="109">
        <v>7980</v>
      </c>
      <c r="L44" s="111"/>
      <c r="M44" s="111"/>
      <c r="N44" s="110"/>
      <c r="O44" s="119" t="s">
        <v>87</v>
      </c>
      <c r="P44" s="120"/>
      <c r="Q44" s="120"/>
      <c r="R44" s="120"/>
      <c r="S44" s="120"/>
      <c r="T44" s="120"/>
      <c r="U44" s="120"/>
      <c r="V44" s="121"/>
      <c r="W44" s="22">
        <f t="shared" si="2"/>
        <v>7980</v>
      </c>
      <c r="X44" s="2"/>
      <c r="Y44" s="7"/>
      <c r="Z44" s="7"/>
      <c r="AA44" s="9"/>
    </row>
    <row r="45" spans="1:27" ht="65.099999999999994" customHeight="1">
      <c r="A45" s="85">
        <v>8</v>
      </c>
      <c r="B45" s="74" t="s">
        <v>98</v>
      </c>
      <c r="C45" s="122"/>
      <c r="D45" s="123"/>
      <c r="E45" s="109">
        <v>2938</v>
      </c>
      <c r="F45" s="111"/>
      <c r="G45" s="110"/>
      <c r="H45" s="109">
        <v>0</v>
      </c>
      <c r="I45" s="111"/>
      <c r="J45" s="110"/>
      <c r="K45" s="109">
        <v>400</v>
      </c>
      <c r="L45" s="111"/>
      <c r="M45" s="111"/>
      <c r="N45" s="110"/>
      <c r="O45" s="124" t="s">
        <v>96</v>
      </c>
      <c r="P45" s="124"/>
      <c r="Q45" s="124"/>
      <c r="R45" s="124"/>
      <c r="S45" s="124"/>
      <c r="T45" s="124"/>
      <c r="U45" s="124"/>
      <c r="V45" s="125"/>
      <c r="W45" s="22">
        <f t="shared" si="2"/>
        <v>400</v>
      </c>
      <c r="X45" s="2"/>
      <c r="Y45" s="7"/>
      <c r="Z45" s="7"/>
      <c r="AA45" s="9"/>
    </row>
    <row r="46" spans="1:27" ht="65.099999999999994" customHeight="1">
      <c r="A46" s="85">
        <v>9</v>
      </c>
      <c r="B46" s="74" t="s">
        <v>99</v>
      </c>
      <c r="C46" s="109"/>
      <c r="D46" s="110"/>
      <c r="E46" s="109">
        <v>1523</v>
      </c>
      <c r="F46" s="111"/>
      <c r="G46" s="110"/>
      <c r="H46" s="109">
        <v>0</v>
      </c>
      <c r="I46" s="111"/>
      <c r="J46" s="110"/>
      <c r="K46" s="109">
        <v>200</v>
      </c>
      <c r="L46" s="111"/>
      <c r="M46" s="111"/>
      <c r="N46" s="110"/>
      <c r="O46" s="399"/>
      <c r="P46" s="399"/>
      <c r="Q46" s="399"/>
      <c r="R46" s="399"/>
      <c r="S46" s="399"/>
      <c r="T46" s="399"/>
      <c r="U46" s="399"/>
      <c r="V46" s="400"/>
      <c r="W46" s="22">
        <f t="shared" si="2"/>
        <v>200</v>
      </c>
      <c r="X46" s="2"/>
      <c r="Y46" s="7"/>
      <c r="Z46" s="7"/>
      <c r="AA46" s="9"/>
    </row>
    <row r="47" spans="1:27" ht="69" customHeight="1">
      <c r="A47" s="488" t="s">
        <v>90</v>
      </c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9"/>
      <c r="Q47" s="489"/>
      <c r="R47" s="489"/>
      <c r="S47" s="489"/>
      <c r="T47" s="489"/>
      <c r="U47" s="489"/>
      <c r="V47" s="490"/>
      <c r="W47" s="21"/>
      <c r="X47" s="2"/>
      <c r="Y47" s="7">
        <f>14050+100</f>
        <v>14150</v>
      </c>
      <c r="Z47" s="7"/>
      <c r="AA47" s="9"/>
    </row>
    <row r="48" spans="1:27" s="44" customFormat="1" ht="54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  <c r="W48" s="41"/>
      <c r="X48" s="42"/>
      <c r="Y48" s="42"/>
      <c r="Z48" s="42"/>
      <c r="AA48" s="43"/>
    </row>
    <row r="49" spans="1:22" ht="97.5" customHeight="1">
      <c r="A49" s="96" t="s">
        <v>88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8"/>
      <c r="O49" s="99" t="s">
        <v>18</v>
      </c>
      <c r="P49" s="99"/>
      <c r="Q49" s="99"/>
      <c r="R49" s="99"/>
      <c r="S49" s="99"/>
      <c r="T49" s="99"/>
      <c r="U49" s="99"/>
      <c r="V49" s="100"/>
    </row>
    <row r="50" spans="1:22" ht="63.75" customHeight="1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452" t="s">
        <v>67</v>
      </c>
      <c r="P50" s="452"/>
      <c r="Q50" s="452"/>
      <c r="R50" s="452"/>
      <c r="S50" s="452"/>
      <c r="T50" s="452"/>
      <c r="U50" s="452"/>
      <c r="V50" s="453"/>
    </row>
    <row r="51" spans="1:22" ht="45" customHeight="1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452"/>
      <c r="P51" s="452"/>
      <c r="Q51" s="452"/>
      <c r="R51" s="452"/>
      <c r="S51" s="452"/>
      <c r="T51" s="452"/>
      <c r="U51" s="452"/>
      <c r="V51" s="453"/>
    </row>
    <row r="52" spans="1:22" ht="45" customHeight="1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452"/>
      <c r="P52" s="452"/>
      <c r="Q52" s="452"/>
      <c r="R52" s="452"/>
      <c r="S52" s="452"/>
      <c r="T52" s="452"/>
      <c r="U52" s="452"/>
      <c r="V52" s="453"/>
    </row>
    <row r="53" spans="1:22" ht="88.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/>
      <c r="P53" s="452"/>
      <c r="Q53" s="452"/>
      <c r="R53" s="452"/>
      <c r="S53" s="452"/>
      <c r="T53" s="452"/>
      <c r="U53" s="452"/>
      <c r="V53" s="453"/>
    </row>
    <row r="54" spans="1:22" ht="123.75" customHeight="1" thickBot="1">
      <c r="A54" s="103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454"/>
      <c r="P54" s="454"/>
      <c r="Q54" s="454"/>
      <c r="R54" s="454"/>
      <c r="S54" s="454"/>
      <c r="T54" s="454"/>
      <c r="U54" s="454"/>
      <c r="V54" s="455"/>
    </row>
    <row r="57" spans="1:22">
      <c r="S57" s="28"/>
      <c r="T57" s="28"/>
      <c r="U57" s="28"/>
    </row>
    <row r="58" spans="1:22">
      <c r="G58" s="88"/>
      <c r="H58" s="89"/>
      <c r="I58" s="89"/>
      <c r="J58" s="89"/>
      <c r="S58" s="28"/>
      <c r="T58" s="28"/>
      <c r="U58" s="29"/>
    </row>
    <row r="59" spans="1:22">
      <c r="G59" s="88"/>
      <c r="H59" s="89"/>
      <c r="I59" s="89"/>
      <c r="J59" s="89"/>
      <c r="S59" s="28"/>
      <c r="T59" s="28"/>
      <c r="U59" s="30"/>
    </row>
    <row r="60" spans="1:22">
      <c r="G60" s="88"/>
      <c r="H60" s="89"/>
      <c r="I60" s="89"/>
      <c r="J60" s="89"/>
      <c r="S60" s="28"/>
      <c r="T60" s="28"/>
      <c r="U60" s="28"/>
    </row>
    <row r="61" spans="1:22">
      <c r="G61" s="88"/>
      <c r="H61" s="89"/>
      <c r="I61" s="89"/>
      <c r="J61" s="89"/>
    </row>
    <row r="62" spans="1:22">
      <c r="G62" s="88"/>
      <c r="H62" s="89"/>
      <c r="I62" s="89"/>
      <c r="J62" s="89"/>
    </row>
    <row r="63" spans="1:22">
      <c r="G63" s="88"/>
      <c r="H63" s="89"/>
      <c r="I63" s="89"/>
      <c r="J63" s="89"/>
    </row>
    <row r="64" spans="1:22">
      <c r="G64" s="88"/>
      <c r="H64" s="89"/>
      <c r="I64" s="89"/>
      <c r="J64" s="89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 s="3" customFormat="1">
      <c r="A67"/>
      <c r="B67" s="15"/>
      <c r="G67" s="88"/>
      <c r="H67" s="89"/>
      <c r="I67" s="89"/>
      <c r="J67" s="89"/>
      <c r="W67" s="20"/>
      <c r="X67"/>
      <c r="Y67"/>
      <c r="Z67"/>
      <c r="AA67"/>
      <c r="AB67"/>
      <c r="AC67"/>
      <c r="AD67"/>
      <c r="AE67"/>
    </row>
    <row r="68" spans="1:31" s="3" customFormat="1">
      <c r="A68"/>
      <c r="B68" s="15"/>
      <c r="G68" s="88"/>
      <c r="H68" s="89"/>
      <c r="I68" s="89"/>
      <c r="J68" s="89"/>
      <c r="W68" s="20"/>
      <c r="X68"/>
      <c r="Y68"/>
      <c r="Z68"/>
      <c r="AA68"/>
      <c r="AB68"/>
      <c r="AC68"/>
      <c r="AD68"/>
      <c r="AE68"/>
    </row>
    <row r="69" spans="1:31" s="3" customFormat="1">
      <c r="A69"/>
      <c r="B69" s="15"/>
      <c r="G69" s="88"/>
      <c r="H69" s="89"/>
      <c r="I69" s="89"/>
      <c r="J69" s="89"/>
      <c r="W69" s="20"/>
      <c r="X69"/>
      <c r="Y69"/>
      <c r="Z69"/>
      <c r="AA69"/>
      <c r="AB69"/>
      <c r="AC69"/>
      <c r="AD69"/>
      <c r="AE69"/>
    </row>
    <row r="70" spans="1:31" s="3" customFormat="1">
      <c r="A70"/>
      <c r="B70" s="15"/>
      <c r="G70" s="88"/>
      <c r="H70" s="89"/>
      <c r="I70" s="89"/>
      <c r="J70" s="89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J75" s="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J76" s="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J77" s="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N104" s="3">
        <v>24</v>
      </c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N105" s="3">
        <v>22</v>
      </c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N106" s="3">
        <v>19</v>
      </c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22</v>
      </c>
      <c r="W107" s="20"/>
      <c r="X107"/>
      <c r="Y107"/>
      <c r="Z107"/>
      <c r="AA107"/>
      <c r="AB107"/>
      <c r="AC107"/>
      <c r="AD107"/>
      <c r="AE107"/>
    </row>
  </sheetData>
  <autoFilter ref="A6:AE47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48:V48"/>
    <mergeCell ref="A49:N49"/>
    <mergeCell ref="O49:V49"/>
    <mergeCell ref="A50:N54"/>
    <mergeCell ref="O50:V54"/>
    <mergeCell ref="C46:D46"/>
    <mergeCell ref="E46:G46"/>
    <mergeCell ref="H46:J46"/>
    <mergeCell ref="K46:N46"/>
    <mergeCell ref="O46:V46"/>
    <mergeCell ref="A47:V47"/>
    <mergeCell ref="C44:D44"/>
    <mergeCell ref="E44:G44"/>
    <mergeCell ref="H44:J44"/>
    <mergeCell ref="K44:N44"/>
    <mergeCell ref="O44:V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V42"/>
    <mergeCell ref="C43:D43"/>
    <mergeCell ref="E43:G43"/>
    <mergeCell ref="H43:J43"/>
    <mergeCell ref="K43:N43"/>
    <mergeCell ref="O43:V43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V41"/>
    <mergeCell ref="C38:D38"/>
    <mergeCell ref="E38:G38"/>
    <mergeCell ref="H38:J38"/>
    <mergeCell ref="K38:N38"/>
    <mergeCell ref="O38:R38"/>
    <mergeCell ref="C39:D39"/>
    <mergeCell ref="E39:G39"/>
    <mergeCell ref="H39:J39"/>
    <mergeCell ref="K39:N39"/>
    <mergeCell ref="O39:R39"/>
    <mergeCell ref="A36:N36"/>
    <mergeCell ref="O36:V36"/>
    <mergeCell ref="C37:D37"/>
    <mergeCell ref="E37:G37"/>
    <mergeCell ref="H37:J37"/>
    <mergeCell ref="K37:N37"/>
    <mergeCell ref="O37:R37"/>
    <mergeCell ref="T34:U34"/>
    <mergeCell ref="A35:B35"/>
    <mergeCell ref="F35:G35"/>
    <mergeCell ref="L30:V30"/>
    <mergeCell ref="M31:R31"/>
    <mergeCell ref="W31:W34"/>
    <mergeCell ref="L32:L33"/>
    <mergeCell ref="M32:R33"/>
    <mergeCell ref="S32:S33"/>
    <mergeCell ref="T32:U33"/>
    <mergeCell ref="V32:V33"/>
    <mergeCell ref="L34:L35"/>
    <mergeCell ref="M34:R35"/>
    <mergeCell ref="L25:L29"/>
    <mergeCell ref="M25:R29"/>
    <mergeCell ref="S25:S29"/>
    <mergeCell ref="T25:U29"/>
    <mergeCell ref="V25:V29"/>
    <mergeCell ref="W25:W29"/>
    <mergeCell ref="W18:W19"/>
    <mergeCell ref="L20:L24"/>
    <mergeCell ref="M20:R24"/>
    <mergeCell ref="S20:S24"/>
    <mergeCell ref="T20:U24"/>
    <mergeCell ref="V20:V24"/>
    <mergeCell ref="W20:W24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EE5C-4CE6-439C-8F04-BBFCAE5BCC50}">
  <sheetPr>
    <pageSetUpPr fitToPage="1"/>
  </sheetPr>
  <dimension ref="A1:AH107"/>
  <sheetViews>
    <sheetView rightToLeft="1" view="pageBreakPreview" topLeftCell="A25" zoomScale="40" zoomScaleNormal="110" zoomScaleSheetLayoutView="40" workbookViewId="0">
      <selection activeCell="M20" sqref="M20:R23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6" t="s">
        <v>145</v>
      </c>
      <c r="S1" s="297" t="s">
        <v>273</v>
      </c>
      <c r="T1" s="297"/>
      <c r="U1" s="462" t="s">
        <v>270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298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298"/>
      <c r="S3" s="299"/>
      <c r="T3" s="299"/>
      <c r="U3" s="464"/>
      <c r="V3" s="465"/>
      <c r="W3" s="16"/>
      <c r="Y3">
        <f>20780-20000</f>
        <v>780</v>
      </c>
    </row>
    <row r="4" spans="1:34" ht="54.7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71.2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274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1</v>
      </c>
      <c r="D10" s="40">
        <v>1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275</v>
      </c>
      <c r="N11" s="391"/>
      <c r="O11" s="391"/>
      <c r="P11" s="391"/>
      <c r="Q11" s="391"/>
      <c r="R11" s="392"/>
      <c r="S11" s="160" t="s">
        <v>57</v>
      </c>
      <c r="T11" s="360">
        <v>5500</v>
      </c>
      <c r="U11" s="361"/>
      <c r="V11" s="445">
        <v>241105</v>
      </c>
      <c r="W11" s="236">
        <f>V11+T11</f>
        <v>246605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1</v>
      </c>
      <c r="D14" s="40">
        <v>1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4</v>
      </c>
      <c r="D15" s="40">
        <v>2</v>
      </c>
      <c r="E15" s="40">
        <v>2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0">
        <v>1600</v>
      </c>
      <c r="U16" s="361"/>
      <c r="V16" s="445">
        <v>55634</v>
      </c>
      <c r="W16" s="47">
        <f>V16+T16</f>
        <v>57234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75" t="s">
        <v>278</v>
      </c>
      <c r="N18" s="476"/>
      <c r="O18" s="476"/>
      <c r="P18" s="476"/>
      <c r="Q18" s="476"/>
      <c r="R18" s="477"/>
      <c r="S18" s="160" t="s">
        <v>85</v>
      </c>
      <c r="T18" s="360">
        <v>1600</v>
      </c>
      <c r="U18" s="361"/>
      <c r="V18" s="445">
        <v>110756</v>
      </c>
      <c r="W18" s="178">
        <f>V18+T18</f>
        <v>112356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4</v>
      </c>
      <c r="J19" s="40">
        <v>1</v>
      </c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80.099999999999994" customHeight="1">
      <c r="A20" s="84">
        <v>13</v>
      </c>
      <c r="B20" s="14" t="s">
        <v>94</v>
      </c>
      <c r="C20" s="40">
        <v>1</v>
      </c>
      <c r="D20" s="40"/>
      <c r="E20" s="40">
        <v>1</v>
      </c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491" t="s">
        <v>276</v>
      </c>
      <c r="N20" s="492"/>
      <c r="O20" s="492"/>
      <c r="P20" s="492"/>
      <c r="Q20" s="492"/>
      <c r="R20" s="493"/>
      <c r="S20" s="442" t="s">
        <v>85</v>
      </c>
      <c r="T20" s="367">
        <v>1417</v>
      </c>
      <c r="U20" s="368"/>
      <c r="V20" s="445">
        <v>42894</v>
      </c>
      <c r="W20" s="178">
        <f>V20+T20</f>
        <v>44311</v>
      </c>
      <c r="Z20" s="1"/>
    </row>
    <row r="21" spans="1:27" ht="80.099999999999994" customHeight="1">
      <c r="A21" s="84">
        <v>14</v>
      </c>
      <c r="B21" s="31" t="s">
        <v>225</v>
      </c>
      <c r="C21" s="40">
        <v>1</v>
      </c>
      <c r="D21" s="40">
        <v>1</v>
      </c>
      <c r="E21" s="40"/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494"/>
      <c r="N21" s="495"/>
      <c r="O21" s="495"/>
      <c r="P21" s="495"/>
      <c r="Q21" s="495"/>
      <c r="R21" s="496"/>
      <c r="S21" s="443"/>
      <c r="T21" s="369"/>
      <c r="U21" s="370"/>
      <c r="V21" s="446"/>
      <c r="W21" s="178"/>
      <c r="Z21" s="1"/>
    </row>
    <row r="22" spans="1:27" ht="80.099999999999994" customHeight="1">
      <c r="A22" s="84">
        <v>15</v>
      </c>
      <c r="B22" s="27" t="s">
        <v>8</v>
      </c>
      <c r="C22" s="59">
        <v>11</v>
      </c>
      <c r="D22" s="40">
        <v>4</v>
      </c>
      <c r="E22" s="40">
        <v>6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494"/>
      <c r="N22" s="495"/>
      <c r="O22" s="495"/>
      <c r="P22" s="495"/>
      <c r="Q22" s="495"/>
      <c r="R22" s="496"/>
      <c r="S22" s="443"/>
      <c r="T22" s="369"/>
      <c r="U22" s="370"/>
      <c r="V22" s="446"/>
      <c r="W22" s="178"/>
      <c r="Z22" s="1"/>
    </row>
    <row r="23" spans="1:27" ht="80.099999999999994" customHeight="1">
      <c r="A23" s="84">
        <v>16</v>
      </c>
      <c r="B23" s="27" t="s">
        <v>63</v>
      </c>
      <c r="C23" s="59">
        <v>10</v>
      </c>
      <c r="D23" s="40">
        <v>5</v>
      </c>
      <c r="E23" s="40">
        <v>5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87"/>
      <c r="M23" s="497"/>
      <c r="N23" s="498"/>
      <c r="O23" s="498"/>
      <c r="P23" s="498"/>
      <c r="Q23" s="498"/>
      <c r="R23" s="499"/>
      <c r="S23" s="444"/>
      <c r="T23" s="371"/>
      <c r="U23" s="372"/>
      <c r="V23" s="447"/>
      <c r="W23" s="178"/>
      <c r="Z23" s="1"/>
    </row>
    <row r="24" spans="1:27" ht="70.5" customHeight="1">
      <c r="A24" s="84">
        <v>17</v>
      </c>
      <c r="B24" s="27" t="s">
        <v>17</v>
      </c>
      <c r="C24" s="40">
        <v>5</v>
      </c>
      <c r="D24" s="40">
        <v>4</v>
      </c>
      <c r="E24" s="40">
        <v>1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66" t="s">
        <v>277</v>
      </c>
      <c r="N24" s="467"/>
      <c r="O24" s="467"/>
      <c r="P24" s="467"/>
      <c r="Q24" s="467"/>
      <c r="R24" s="468"/>
      <c r="S24" s="442" t="s">
        <v>85</v>
      </c>
      <c r="T24" s="360">
        <v>1113</v>
      </c>
      <c r="U24" s="361"/>
      <c r="V24" s="445">
        <v>36658</v>
      </c>
      <c r="W24" s="178"/>
      <c r="Z24" s="1"/>
    </row>
    <row r="25" spans="1:27" ht="69.95" customHeight="1">
      <c r="A25" s="84">
        <v>18</v>
      </c>
      <c r="B25" s="27" t="s">
        <v>43</v>
      </c>
      <c r="C25" s="40">
        <v>1</v>
      </c>
      <c r="D25" s="40"/>
      <c r="E25" s="40">
        <v>1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9"/>
      <c r="N25" s="470"/>
      <c r="O25" s="470"/>
      <c r="P25" s="470"/>
      <c r="Q25" s="470"/>
      <c r="R25" s="471"/>
      <c r="S25" s="443"/>
      <c r="T25" s="362"/>
      <c r="U25" s="363"/>
      <c r="V25" s="446"/>
      <c r="W25" s="209">
        <f>V24+T24</f>
        <v>37771</v>
      </c>
      <c r="Z25" s="1"/>
    </row>
    <row r="26" spans="1:27" ht="69.95" customHeight="1">
      <c r="A26" s="84">
        <v>19</v>
      </c>
      <c r="B26" s="27" t="s">
        <v>45</v>
      </c>
      <c r="C26" s="40">
        <v>2</v>
      </c>
      <c r="D26" s="40"/>
      <c r="E26" s="40">
        <v>2</v>
      </c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69.95" customHeight="1">
      <c r="A27" s="84">
        <v>20</v>
      </c>
      <c r="B27" s="27" t="s">
        <v>58</v>
      </c>
      <c r="C27" s="40">
        <v>1</v>
      </c>
      <c r="D27" s="40">
        <v>1</v>
      </c>
      <c r="E27" s="40"/>
      <c r="F27" s="40">
        <v>20</v>
      </c>
      <c r="G27" s="27" t="s">
        <v>53</v>
      </c>
      <c r="H27" s="40">
        <v>18</v>
      </c>
      <c r="I27" s="40">
        <v>18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69.95" customHeight="1">
      <c r="A28" s="84">
        <v>21</v>
      </c>
      <c r="B28" s="27" t="s">
        <v>101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69.95" customHeight="1">
      <c r="A29" s="84">
        <v>22</v>
      </c>
      <c r="B29" s="27" t="s">
        <v>44</v>
      </c>
      <c r="C29" s="40">
        <v>2</v>
      </c>
      <c r="D29" s="40">
        <v>2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60</v>
      </c>
      <c r="C30" s="40">
        <v>2</v>
      </c>
      <c r="D30" s="40">
        <v>1</v>
      </c>
      <c r="E30" s="40">
        <v>1</v>
      </c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62</v>
      </c>
      <c r="C31" s="40">
        <v>3</v>
      </c>
      <c r="D31" s="40">
        <v>3</v>
      </c>
      <c r="E31" s="40"/>
      <c r="F31" s="40">
        <v>24</v>
      </c>
      <c r="G31" s="27" t="s">
        <v>97</v>
      </c>
      <c r="H31" s="40">
        <v>2</v>
      </c>
      <c r="I31" s="40"/>
      <c r="J31" s="40"/>
      <c r="K31" s="40"/>
      <c r="L31" s="40">
        <v>1</v>
      </c>
      <c r="M31" s="171" t="s">
        <v>253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36</v>
      </c>
      <c r="C32" s="40">
        <v>1</v>
      </c>
      <c r="D32" s="40">
        <v>1</v>
      </c>
      <c r="E32" s="40"/>
      <c r="F32" s="40">
        <v>25</v>
      </c>
      <c r="G32" s="86" t="s">
        <v>220</v>
      </c>
      <c r="H32" s="40">
        <v>1</v>
      </c>
      <c r="I32" s="40"/>
      <c r="J32" s="40"/>
      <c r="K32" s="40"/>
      <c r="L32" s="152">
        <v>2</v>
      </c>
      <c r="M32" s="180"/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93</v>
      </c>
      <c r="C33" s="40">
        <v>1</v>
      </c>
      <c r="D33" s="40">
        <v>1</v>
      </c>
      <c r="E33" s="40"/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46</v>
      </c>
      <c r="C34" s="40">
        <v>1</v>
      </c>
      <c r="D34" s="40"/>
      <c r="E34" s="40">
        <v>1</v>
      </c>
      <c r="F34" s="40"/>
      <c r="G34" s="27"/>
      <c r="H34" s="40"/>
      <c r="I34" s="40"/>
      <c r="J34" s="40"/>
      <c r="K34" s="40"/>
      <c r="L34" s="152">
        <v>3</v>
      </c>
      <c r="M34" s="180"/>
      <c r="N34" s="181"/>
      <c r="O34" s="181"/>
      <c r="P34" s="181"/>
      <c r="Q34" s="181"/>
      <c r="R34" s="182"/>
      <c r="S34" s="90"/>
      <c r="T34" s="162"/>
      <c r="U34" s="163"/>
      <c r="V34" s="91"/>
      <c r="W34" s="179"/>
      <c r="Z34" s="1"/>
    </row>
    <row r="35" spans="1:27" ht="63.75" customHeight="1">
      <c r="A35" s="150" t="s">
        <v>9</v>
      </c>
      <c r="B35" s="151"/>
      <c r="C35" s="61">
        <f>SUM(C7:C34)</f>
        <v>60</v>
      </c>
      <c r="D35" s="61">
        <f>SUM(D7:D34)</f>
        <v>37</v>
      </c>
      <c r="E35" s="61">
        <f>SUM(E7:E34)</f>
        <v>22</v>
      </c>
      <c r="F35" s="151" t="s">
        <v>9</v>
      </c>
      <c r="G35" s="151"/>
      <c r="H35" s="64">
        <f>SUM(H7:H34)</f>
        <v>72</v>
      </c>
      <c r="I35" s="64">
        <f>SUM(I7:I34)</f>
        <v>62</v>
      </c>
      <c r="J35" s="64">
        <f>SUM(J7:J34)</f>
        <v>3</v>
      </c>
      <c r="K35" s="64">
        <f>SUM(K7:K34)</f>
        <v>4</v>
      </c>
      <c r="L35" s="153"/>
      <c r="M35" s="183"/>
      <c r="N35" s="184"/>
      <c r="O35" s="184"/>
      <c r="P35" s="184"/>
      <c r="Q35" s="184"/>
      <c r="R35" s="185"/>
      <c r="S35" s="48"/>
      <c r="T35" s="52"/>
      <c r="U35" s="53"/>
      <c r="V35" s="55"/>
      <c r="W35" s="16"/>
    </row>
    <row r="36" spans="1:27" ht="49.5" customHeight="1">
      <c r="A36" s="456" t="s">
        <v>81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132" t="s">
        <v>33</v>
      </c>
      <c r="P36" s="132"/>
      <c r="Q36" s="132"/>
      <c r="R36" s="132"/>
      <c r="S36" s="132"/>
      <c r="T36" s="132"/>
      <c r="U36" s="132"/>
      <c r="V36" s="133"/>
      <c r="W36" s="16"/>
    </row>
    <row r="37" spans="1:27" ht="54" customHeight="1">
      <c r="A37" s="11" t="s">
        <v>2</v>
      </c>
      <c r="B37" s="27" t="s">
        <v>5</v>
      </c>
      <c r="C37" s="143" t="s">
        <v>24</v>
      </c>
      <c r="D37" s="143"/>
      <c r="E37" s="143" t="s">
        <v>68</v>
      </c>
      <c r="F37" s="143"/>
      <c r="G37" s="143"/>
      <c r="H37" s="143" t="s">
        <v>42</v>
      </c>
      <c r="I37" s="143"/>
      <c r="J37" s="143"/>
      <c r="K37" s="143" t="s">
        <v>41</v>
      </c>
      <c r="L37" s="143"/>
      <c r="M37" s="143"/>
      <c r="N37" s="143"/>
      <c r="O37" s="144" t="s">
        <v>31</v>
      </c>
      <c r="P37" s="145"/>
      <c r="Q37" s="145"/>
      <c r="R37" s="146"/>
      <c r="S37" s="62" t="s">
        <v>75</v>
      </c>
      <c r="T37" s="62" t="s">
        <v>77</v>
      </c>
      <c r="U37" s="62" t="s">
        <v>76</v>
      </c>
      <c r="V37" s="63" t="s">
        <v>32</v>
      </c>
      <c r="W37" s="16"/>
    </row>
    <row r="38" spans="1:27" ht="116.25" customHeight="1">
      <c r="A38" s="85">
        <v>1</v>
      </c>
      <c r="B38" s="74" t="s">
        <v>135</v>
      </c>
      <c r="C38" s="134"/>
      <c r="D38" s="135"/>
      <c r="E38" s="109">
        <v>100</v>
      </c>
      <c r="F38" s="111"/>
      <c r="G38" s="110"/>
      <c r="H38" s="134">
        <v>0</v>
      </c>
      <c r="I38" s="136"/>
      <c r="J38" s="135"/>
      <c r="K38" s="134">
        <v>99</v>
      </c>
      <c r="L38" s="136"/>
      <c r="M38" s="136"/>
      <c r="N38" s="135"/>
      <c r="O38" s="140"/>
      <c r="P38" s="141"/>
      <c r="Q38" s="141"/>
      <c r="R38" s="142"/>
      <c r="S38" s="56"/>
      <c r="T38" s="56"/>
      <c r="U38" s="57"/>
      <c r="V38" s="58"/>
      <c r="W38" s="80">
        <f>K38+H38</f>
        <v>99</v>
      </c>
      <c r="Y38" s="8"/>
    </row>
    <row r="39" spans="1:27" ht="108" customHeight="1">
      <c r="A39" s="85">
        <v>2</v>
      </c>
      <c r="B39" s="74" t="s">
        <v>136</v>
      </c>
      <c r="C39" s="117"/>
      <c r="D39" s="118"/>
      <c r="E39" s="109">
        <v>2587</v>
      </c>
      <c r="F39" s="111"/>
      <c r="G39" s="110"/>
      <c r="H39" s="134">
        <v>0</v>
      </c>
      <c r="I39" s="136"/>
      <c r="J39" s="135"/>
      <c r="K39" s="134">
        <v>683</v>
      </c>
      <c r="L39" s="136"/>
      <c r="M39" s="136"/>
      <c r="N39" s="135"/>
      <c r="O39" s="140"/>
      <c r="P39" s="141"/>
      <c r="Q39" s="141"/>
      <c r="R39" s="142"/>
      <c r="S39" s="56"/>
      <c r="T39" s="56"/>
      <c r="U39" s="57"/>
      <c r="V39" s="58"/>
      <c r="W39" s="80">
        <f t="shared" ref="W39:W46" si="2">K39+H39</f>
        <v>683</v>
      </c>
      <c r="X39" s="2"/>
      <c r="Y39" s="7"/>
      <c r="Z39" s="7"/>
      <c r="AA39" s="9"/>
    </row>
    <row r="40" spans="1:27" ht="100.5" customHeight="1">
      <c r="A40" s="85">
        <v>3</v>
      </c>
      <c r="B40" s="74" t="s">
        <v>80</v>
      </c>
      <c r="C40" s="122"/>
      <c r="D40" s="123"/>
      <c r="E40" s="109">
        <v>148000</v>
      </c>
      <c r="F40" s="111"/>
      <c r="G40" s="110"/>
      <c r="H40" s="109">
        <v>280</v>
      </c>
      <c r="I40" s="111"/>
      <c r="J40" s="110"/>
      <c r="K40" s="109">
        <v>137436</v>
      </c>
      <c r="L40" s="111"/>
      <c r="M40" s="111"/>
      <c r="N40" s="110"/>
      <c r="O40" s="483"/>
      <c r="P40" s="484"/>
      <c r="Q40" s="484"/>
      <c r="R40" s="485"/>
      <c r="S40" s="56"/>
      <c r="T40" s="56"/>
      <c r="U40" s="57"/>
      <c r="V40" s="58"/>
      <c r="W40" s="78">
        <f>K40+H40</f>
        <v>137716</v>
      </c>
      <c r="X40" s="2"/>
      <c r="Y40" s="7"/>
      <c r="Z40" s="7"/>
      <c r="AA40" s="9"/>
    </row>
    <row r="41" spans="1:27" ht="65.099999999999994" customHeight="1">
      <c r="A41" s="85">
        <v>4</v>
      </c>
      <c r="B41" s="74" t="s">
        <v>56</v>
      </c>
      <c r="C41" s="117"/>
      <c r="D41" s="118"/>
      <c r="E41" s="109">
        <v>20920</v>
      </c>
      <c r="F41" s="111"/>
      <c r="G41" s="110"/>
      <c r="H41" s="109">
        <v>0</v>
      </c>
      <c r="I41" s="111"/>
      <c r="J41" s="110"/>
      <c r="K41" s="109">
        <v>15900</v>
      </c>
      <c r="L41" s="111"/>
      <c r="M41" s="111"/>
      <c r="N41" s="110"/>
      <c r="O41" s="132" t="s">
        <v>25</v>
      </c>
      <c r="P41" s="132"/>
      <c r="Q41" s="132"/>
      <c r="R41" s="132"/>
      <c r="S41" s="132"/>
      <c r="T41" s="132"/>
      <c r="U41" s="132"/>
      <c r="V41" s="133"/>
      <c r="W41" s="22">
        <f t="shared" si="2"/>
        <v>15900</v>
      </c>
      <c r="X41" s="2"/>
      <c r="Y41" s="7"/>
      <c r="Z41" s="7"/>
      <c r="AA41" s="9"/>
    </row>
    <row r="42" spans="1:27" ht="65.099999999999994" customHeight="1">
      <c r="A42" s="85">
        <v>5</v>
      </c>
      <c r="B42" s="74" t="s">
        <v>114</v>
      </c>
      <c r="C42" s="122">
        <v>11</v>
      </c>
      <c r="D42" s="123"/>
      <c r="E42" s="109">
        <v>1327</v>
      </c>
      <c r="F42" s="111"/>
      <c r="G42" s="110"/>
      <c r="H42" s="109">
        <v>11</v>
      </c>
      <c r="I42" s="111"/>
      <c r="J42" s="110"/>
      <c r="K42" s="109">
        <v>1327</v>
      </c>
      <c r="L42" s="111"/>
      <c r="M42" s="111"/>
      <c r="N42" s="110"/>
      <c r="O42" s="126" t="s">
        <v>107</v>
      </c>
      <c r="P42" s="127"/>
      <c r="Q42" s="127"/>
      <c r="R42" s="127"/>
      <c r="S42" s="127"/>
      <c r="T42" s="127"/>
      <c r="U42" s="127"/>
      <c r="V42" s="128"/>
      <c r="W42" s="22">
        <f>K42+H42</f>
        <v>1338</v>
      </c>
      <c r="X42" s="2"/>
      <c r="Y42" s="7"/>
      <c r="Z42" s="7"/>
      <c r="AA42" s="9"/>
    </row>
    <row r="43" spans="1:27" ht="65.099999999999994" customHeight="1">
      <c r="A43" s="85">
        <v>6</v>
      </c>
      <c r="B43" s="74" t="s">
        <v>115</v>
      </c>
      <c r="C43" s="122">
        <v>40</v>
      </c>
      <c r="D43" s="123"/>
      <c r="E43" s="109">
        <v>7935</v>
      </c>
      <c r="F43" s="111"/>
      <c r="G43" s="110"/>
      <c r="H43" s="109">
        <v>40</v>
      </c>
      <c r="I43" s="111"/>
      <c r="J43" s="110"/>
      <c r="K43" s="109">
        <v>7935</v>
      </c>
      <c r="L43" s="111"/>
      <c r="M43" s="111"/>
      <c r="N43" s="110"/>
      <c r="O43" s="126" t="s">
        <v>86</v>
      </c>
      <c r="P43" s="127"/>
      <c r="Q43" s="127"/>
      <c r="R43" s="127"/>
      <c r="S43" s="127"/>
      <c r="T43" s="127"/>
      <c r="U43" s="127"/>
      <c r="V43" s="128"/>
      <c r="W43" s="23">
        <f>K43+H43</f>
        <v>7975</v>
      </c>
      <c r="X43" s="2"/>
      <c r="Y43" s="7"/>
      <c r="Z43" s="7"/>
      <c r="AA43" s="9"/>
    </row>
    <row r="44" spans="1:27" ht="65.099999999999994" customHeight="1">
      <c r="A44" s="85">
        <v>7</v>
      </c>
      <c r="B44" s="74" t="s">
        <v>79</v>
      </c>
      <c r="C44" s="117"/>
      <c r="D44" s="118"/>
      <c r="E44" s="109">
        <v>9260</v>
      </c>
      <c r="F44" s="111"/>
      <c r="G44" s="110"/>
      <c r="H44" s="109">
        <v>0</v>
      </c>
      <c r="I44" s="111"/>
      <c r="J44" s="110"/>
      <c r="K44" s="109">
        <v>7980</v>
      </c>
      <c r="L44" s="111"/>
      <c r="M44" s="111"/>
      <c r="N44" s="110"/>
      <c r="O44" s="119" t="s">
        <v>87</v>
      </c>
      <c r="P44" s="120"/>
      <c r="Q44" s="120"/>
      <c r="R44" s="120"/>
      <c r="S44" s="120"/>
      <c r="T44" s="120"/>
      <c r="U44" s="120"/>
      <c r="V44" s="121"/>
      <c r="W44" s="22">
        <f t="shared" si="2"/>
        <v>7980</v>
      </c>
      <c r="X44" s="2"/>
      <c r="Y44" s="7"/>
      <c r="Z44" s="7"/>
      <c r="AA44" s="9"/>
    </row>
    <row r="45" spans="1:27" ht="65.099999999999994" customHeight="1">
      <c r="A45" s="85">
        <v>8</v>
      </c>
      <c r="B45" s="74" t="s">
        <v>98</v>
      </c>
      <c r="C45" s="122"/>
      <c r="D45" s="123"/>
      <c r="E45" s="109">
        <v>2938</v>
      </c>
      <c r="F45" s="111"/>
      <c r="G45" s="110"/>
      <c r="H45" s="109">
        <v>0</v>
      </c>
      <c r="I45" s="111"/>
      <c r="J45" s="110"/>
      <c r="K45" s="109">
        <v>400</v>
      </c>
      <c r="L45" s="111"/>
      <c r="M45" s="111"/>
      <c r="N45" s="110"/>
      <c r="O45" s="124" t="s">
        <v>96</v>
      </c>
      <c r="P45" s="124"/>
      <c r="Q45" s="124"/>
      <c r="R45" s="124"/>
      <c r="S45" s="124"/>
      <c r="T45" s="124"/>
      <c r="U45" s="124"/>
      <c r="V45" s="125"/>
      <c r="W45" s="22">
        <f t="shared" si="2"/>
        <v>400</v>
      </c>
      <c r="X45" s="2"/>
      <c r="Y45" s="7"/>
      <c r="Z45" s="7"/>
      <c r="AA45" s="9"/>
    </row>
    <row r="46" spans="1:27" ht="65.099999999999994" customHeight="1">
      <c r="A46" s="85">
        <v>9</v>
      </c>
      <c r="B46" s="74" t="s">
        <v>99</v>
      </c>
      <c r="C46" s="109"/>
      <c r="D46" s="110"/>
      <c r="E46" s="109">
        <v>1523</v>
      </c>
      <c r="F46" s="111"/>
      <c r="G46" s="110"/>
      <c r="H46" s="109">
        <v>0</v>
      </c>
      <c r="I46" s="111"/>
      <c r="J46" s="110"/>
      <c r="K46" s="109">
        <v>200</v>
      </c>
      <c r="L46" s="111"/>
      <c r="M46" s="111"/>
      <c r="N46" s="110"/>
      <c r="O46" s="399"/>
      <c r="P46" s="399"/>
      <c r="Q46" s="399"/>
      <c r="R46" s="399"/>
      <c r="S46" s="399"/>
      <c r="T46" s="399"/>
      <c r="U46" s="399"/>
      <c r="V46" s="400"/>
      <c r="W46" s="22">
        <f t="shared" si="2"/>
        <v>200</v>
      </c>
      <c r="X46" s="2"/>
      <c r="Y46" s="7"/>
      <c r="Z46" s="7"/>
      <c r="AA46" s="9"/>
    </row>
    <row r="47" spans="1:27" ht="69" customHeight="1">
      <c r="A47" s="488" t="s">
        <v>90</v>
      </c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9"/>
      <c r="Q47" s="489"/>
      <c r="R47" s="489"/>
      <c r="S47" s="489"/>
      <c r="T47" s="489"/>
      <c r="U47" s="489"/>
      <c r="V47" s="490"/>
      <c r="W47" s="21"/>
      <c r="X47" s="2"/>
      <c r="Y47" s="7">
        <f>14050+100</f>
        <v>14150</v>
      </c>
      <c r="Z47" s="7"/>
      <c r="AA47" s="9"/>
    </row>
    <row r="48" spans="1:27" s="44" customFormat="1" ht="54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  <c r="W48" s="41"/>
      <c r="X48" s="42"/>
      <c r="Y48" s="42"/>
      <c r="Z48" s="42"/>
      <c r="AA48" s="43"/>
    </row>
    <row r="49" spans="1:22" ht="97.5" customHeight="1">
      <c r="A49" s="96" t="s">
        <v>88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8"/>
      <c r="O49" s="99" t="s">
        <v>18</v>
      </c>
      <c r="P49" s="99"/>
      <c r="Q49" s="99"/>
      <c r="R49" s="99"/>
      <c r="S49" s="99"/>
      <c r="T49" s="99"/>
      <c r="U49" s="99"/>
      <c r="V49" s="100"/>
    </row>
    <row r="50" spans="1:22" ht="63.75" customHeight="1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452" t="s">
        <v>67</v>
      </c>
      <c r="P50" s="452"/>
      <c r="Q50" s="452"/>
      <c r="R50" s="452"/>
      <c r="S50" s="452"/>
      <c r="T50" s="452"/>
      <c r="U50" s="452"/>
      <c r="V50" s="453"/>
    </row>
    <row r="51" spans="1:22" ht="45" customHeight="1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452"/>
      <c r="P51" s="452"/>
      <c r="Q51" s="452"/>
      <c r="R51" s="452"/>
      <c r="S51" s="452"/>
      <c r="T51" s="452"/>
      <c r="U51" s="452"/>
      <c r="V51" s="453"/>
    </row>
    <row r="52" spans="1:22" ht="45" customHeight="1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452"/>
      <c r="P52" s="452"/>
      <c r="Q52" s="452"/>
      <c r="R52" s="452"/>
      <c r="S52" s="452"/>
      <c r="T52" s="452"/>
      <c r="U52" s="452"/>
      <c r="V52" s="453"/>
    </row>
    <row r="53" spans="1:22" ht="88.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/>
      <c r="P53" s="452"/>
      <c r="Q53" s="452"/>
      <c r="R53" s="452"/>
      <c r="S53" s="452"/>
      <c r="T53" s="452"/>
      <c r="U53" s="452"/>
      <c r="V53" s="453"/>
    </row>
    <row r="54" spans="1:22" ht="123.75" customHeight="1" thickBot="1">
      <c r="A54" s="103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454"/>
      <c r="P54" s="454"/>
      <c r="Q54" s="454"/>
      <c r="R54" s="454"/>
      <c r="S54" s="454"/>
      <c r="T54" s="454"/>
      <c r="U54" s="454"/>
      <c r="V54" s="455"/>
    </row>
    <row r="57" spans="1:22">
      <c r="S57" s="28"/>
      <c r="T57" s="28"/>
      <c r="U57" s="28"/>
    </row>
    <row r="58" spans="1:22">
      <c r="G58" s="88"/>
      <c r="H58" s="89"/>
      <c r="I58" s="89"/>
      <c r="J58" s="89"/>
      <c r="S58" s="28"/>
      <c r="T58" s="28"/>
      <c r="U58" s="29"/>
    </row>
    <row r="59" spans="1:22">
      <c r="G59" s="88"/>
      <c r="H59" s="89"/>
      <c r="I59" s="89"/>
      <c r="J59" s="89"/>
      <c r="S59" s="28"/>
      <c r="T59" s="28"/>
      <c r="U59" s="30"/>
    </row>
    <row r="60" spans="1:22">
      <c r="G60" s="88"/>
      <c r="H60" s="89"/>
      <c r="I60" s="89"/>
      <c r="J60" s="89"/>
      <c r="S60" s="28"/>
      <c r="T60" s="28"/>
      <c r="U60" s="28"/>
    </row>
    <row r="61" spans="1:22">
      <c r="G61" s="88"/>
      <c r="H61" s="89"/>
      <c r="I61" s="89"/>
      <c r="J61" s="89"/>
    </row>
    <row r="62" spans="1:22">
      <c r="G62" s="88"/>
      <c r="H62" s="89"/>
      <c r="I62" s="89"/>
      <c r="J62" s="89"/>
    </row>
    <row r="63" spans="1:22">
      <c r="G63" s="88"/>
      <c r="H63" s="89"/>
      <c r="I63" s="89"/>
      <c r="J63" s="89"/>
    </row>
    <row r="64" spans="1:22">
      <c r="G64" s="88"/>
      <c r="H64" s="89"/>
      <c r="I64" s="89"/>
      <c r="J64" s="89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 s="3" customFormat="1">
      <c r="A67"/>
      <c r="B67" s="15"/>
      <c r="G67" s="88"/>
      <c r="H67" s="89"/>
      <c r="I67" s="89"/>
      <c r="J67" s="89"/>
      <c r="W67" s="20"/>
      <c r="X67"/>
      <c r="Y67"/>
      <c r="Z67"/>
      <c r="AA67"/>
      <c r="AB67"/>
      <c r="AC67"/>
      <c r="AD67"/>
      <c r="AE67"/>
    </row>
    <row r="68" spans="1:31" s="3" customFormat="1">
      <c r="A68"/>
      <c r="B68" s="15"/>
      <c r="G68" s="88"/>
      <c r="H68" s="89"/>
      <c r="I68" s="89"/>
      <c r="J68" s="89"/>
      <c r="W68" s="20"/>
      <c r="X68"/>
      <c r="Y68"/>
      <c r="Z68"/>
      <c r="AA68"/>
      <c r="AB68"/>
      <c r="AC68"/>
      <c r="AD68"/>
      <c r="AE68"/>
    </row>
    <row r="69" spans="1:31" s="3" customFormat="1">
      <c r="A69"/>
      <c r="B69" s="15"/>
      <c r="G69" s="88"/>
      <c r="H69" s="89"/>
      <c r="I69" s="89"/>
      <c r="J69" s="89"/>
      <c r="W69" s="20"/>
      <c r="X69"/>
      <c r="Y69"/>
      <c r="Z69"/>
      <c r="AA69"/>
      <c r="AB69"/>
      <c r="AC69"/>
      <c r="AD69"/>
      <c r="AE69"/>
    </row>
    <row r="70" spans="1:31" s="3" customFormat="1">
      <c r="A70"/>
      <c r="B70" s="15"/>
      <c r="G70" s="88"/>
      <c r="H70" s="89"/>
      <c r="I70" s="89"/>
      <c r="J70" s="89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J75" s="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J76" s="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J77" s="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N104" s="3">
        <v>24</v>
      </c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N105" s="3">
        <v>22</v>
      </c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N106" s="3">
        <v>19</v>
      </c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22</v>
      </c>
      <c r="W107" s="20"/>
      <c r="X107"/>
      <c r="Y107"/>
      <c r="Z107"/>
      <c r="AA107"/>
      <c r="AB107"/>
      <c r="AC107"/>
      <c r="AD107"/>
      <c r="AE107"/>
    </row>
  </sheetData>
  <autoFilter ref="A6:AE47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L25:L29"/>
    <mergeCell ref="W25:W29"/>
    <mergeCell ref="W18:W19"/>
    <mergeCell ref="L20:L24"/>
    <mergeCell ref="W20:W24"/>
    <mergeCell ref="M20:R23"/>
    <mergeCell ref="S20:S23"/>
    <mergeCell ref="T20:U23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V20:V23"/>
    <mergeCell ref="L30:V30"/>
    <mergeCell ref="M31:R31"/>
    <mergeCell ref="W31:W34"/>
    <mergeCell ref="L32:L33"/>
    <mergeCell ref="M32:R33"/>
    <mergeCell ref="S32:S33"/>
    <mergeCell ref="T32:U33"/>
    <mergeCell ref="V32:V33"/>
    <mergeCell ref="L34:L35"/>
    <mergeCell ref="M34:R35"/>
    <mergeCell ref="T34:U34"/>
    <mergeCell ref="A35:B35"/>
    <mergeCell ref="F35:G35"/>
    <mergeCell ref="A36:N36"/>
    <mergeCell ref="O36:V36"/>
    <mergeCell ref="C37:D37"/>
    <mergeCell ref="E37:G37"/>
    <mergeCell ref="H37:J37"/>
    <mergeCell ref="K37:N37"/>
    <mergeCell ref="O37:R37"/>
    <mergeCell ref="C38:D38"/>
    <mergeCell ref="E38:G38"/>
    <mergeCell ref="H38:J38"/>
    <mergeCell ref="K38:N38"/>
    <mergeCell ref="O38:R38"/>
    <mergeCell ref="C39:D39"/>
    <mergeCell ref="E39:G39"/>
    <mergeCell ref="H39:J39"/>
    <mergeCell ref="K39:N39"/>
    <mergeCell ref="O39:R39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V41"/>
    <mergeCell ref="O45:V45"/>
    <mergeCell ref="C42:D42"/>
    <mergeCell ref="E42:G42"/>
    <mergeCell ref="H42:J42"/>
    <mergeCell ref="K42:N42"/>
    <mergeCell ref="O42:V42"/>
    <mergeCell ref="C43:D43"/>
    <mergeCell ref="E43:G43"/>
    <mergeCell ref="H43:J43"/>
    <mergeCell ref="K43:N43"/>
    <mergeCell ref="O43:V43"/>
    <mergeCell ref="A48:V48"/>
    <mergeCell ref="A49:N49"/>
    <mergeCell ref="O49:V49"/>
    <mergeCell ref="A50:N54"/>
    <mergeCell ref="O50:V54"/>
    <mergeCell ref="M24:R29"/>
    <mergeCell ref="S24:S29"/>
    <mergeCell ref="T24:U29"/>
    <mergeCell ref="V24:V29"/>
    <mergeCell ref="C46:D46"/>
    <mergeCell ref="E46:G46"/>
    <mergeCell ref="H46:J46"/>
    <mergeCell ref="K46:N46"/>
    <mergeCell ref="O46:V46"/>
    <mergeCell ref="A47:V47"/>
    <mergeCell ref="C44:D44"/>
    <mergeCell ref="E44:G44"/>
    <mergeCell ref="H44:J44"/>
    <mergeCell ref="K44:N44"/>
    <mergeCell ref="O44:V44"/>
    <mergeCell ref="C45:D45"/>
    <mergeCell ref="E45:G45"/>
    <mergeCell ref="H45:J45"/>
    <mergeCell ref="K45:N45"/>
  </mergeCells>
  <printOptions horizontalCentered="1"/>
  <pageMargins left="0.25" right="0.25" top="0" bottom="2" header="0" footer="0"/>
  <pageSetup paperSize="5" scale="24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FD96-ABA3-4E2E-A3E3-F4EB08C92311}">
  <sheetPr>
    <pageSetUpPr fitToPage="1"/>
  </sheetPr>
  <dimension ref="A1:AH107"/>
  <sheetViews>
    <sheetView rightToLeft="1" view="pageBreakPreview" zoomScale="40" zoomScaleNormal="110" zoomScaleSheetLayoutView="40" workbookViewId="0">
      <selection activeCell="D13" sqref="D13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1.285156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502" t="s">
        <v>151</v>
      </c>
      <c r="S1" s="297" t="s">
        <v>279</v>
      </c>
      <c r="T1" s="297"/>
      <c r="U1" s="462" t="s">
        <v>280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503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503"/>
      <c r="S3" s="299"/>
      <c r="T3" s="299"/>
      <c r="U3" s="464"/>
      <c r="V3" s="465"/>
      <c r="W3" s="16"/>
      <c r="Y3">
        <f>20780-20000</f>
        <v>780</v>
      </c>
    </row>
    <row r="4" spans="1:34" ht="54.7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71.2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281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1</v>
      </c>
      <c r="D10" s="40">
        <v>1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267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241105</v>
      </c>
      <c r="W11" s="236">
        <f>V11+T11</f>
        <v>241105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1</v>
      </c>
      <c r="D14" s="40">
        <v>1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4</v>
      </c>
      <c r="D15" s="40">
        <v>2</v>
      </c>
      <c r="E15" s="40">
        <v>2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0">
        <v>1720</v>
      </c>
      <c r="U16" s="361"/>
      <c r="V16" s="445">
        <v>57354</v>
      </c>
      <c r="W16" s="47">
        <f>V16+T16</f>
        <v>59074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2</v>
      </c>
      <c r="I18" s="40">
        <v>2</v>
      </c>
      <c r="J18" s="40"/>
      <c r="K18" s="40"/>
      <c r="L18" s="186">
        <v>5</v>
      </c>
      <c r="M18" s="475" t="s">
        <v>282</v>
      </c>
      <c r="N18" s="476"/>
      <c r="O18" s="476"/>
      <c r="P18" s="476"/>
      <c r="Q18" s="476"/>
      <c r="R18" s="477"/>
      <c r="S18" s="160" t="s">
        <v>85</v>
      </c>
      <c r="T18" s="360">
        <v>1720</v>
      </c>
      <c r="U18" s="361"/>
      <c r="V18" s="445">
        <v>112476</v>
      </c>
      <c r="W18" s="178">
        <f>V18+T18</f>
        <v>114196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4</v>
      </c>
      <c r="J19" s="40">
        <v>1</v>
      </c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80.099999999999994" customHeight="1">
      <c r="A20" s="84">
        <v>13</v>
      </c>
      <c r="B20" s="14" t="s">
        <v>94</v>
      </c>
      <c r="C20" s="40">
        <v>1</v>
      </c>
      <c r="D20" s="40">
        <v>1</v>
      </c>
      <c r="E20" s="40"/>
      <c r="F20" s="40">
        <v>13</v>
      </c>
      <c r="G20" s="27" t="s">
        <v>19</v>
      </c>
      <c r="H20" s="40">
        <v>2</v>
      </c>
      <c r="I20" s="40">
        <v>2</v>
      </c>
      <c r="J20" s="40"/>
      <c r="K20" s="40"/>
      <c r="L20" s="152">
        <v>6</v>
      </c>
      <c r="M20" s="491" t="s">
        <v>283</v>
      </c>
      <c r="N20" s="492"/>
      <c r="O20" s="492"/>
      <c r="P20" s="492"/>
      <c r="Q20" s="492"/>
      <c r="R20" s="493"/>
      <c r="S20" s="442" t="s">
        <v>85</v>
      </c>
      <c r="T20" s="367">
        <v>0</v>
      </c>
      <c r="U20" s="368"/>
      <c r="V20" s="445">
        <v>42894</v>
      </c>
      <c r="W20" s="178">
        <f>V20+T20</f>
        <v>42894</v>
      </c>
      <c r="Z20" s="1"/>
    </row>
    <row r="21" spans="1:27" ht="80.099999999999994" customHeight="1">
      <c r="A21" s="84">
        <v>14</v>
      </c>
      <c r="B21" s="31" t="s">
        <v>225</v>
      </c>
      <c r="C21" s="40">
        <v>1</v>
      </c>
      <c r="D21" s="40">
        <v>1</v>
      </c>
      <c r="E21" s="40"/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494"/>
      <c r="N21" s="495"/>
      <c r="O21" s="495"/>
      <c r="P21" s="495"/>
      <c r="Q21" s="495"/>
      <c r="R21" s="496"/>
      <c r="S21" s="443"/>
      <c r="T21" s="369"/>
      <c r="U21" s="370"/>
      <c r="V21" s="446"/>
      <c r="W21" s="178"/>
      <c r="Z21" s="1"/>
    </row>
    <row r="22" spans="1:27" ht="80.099999999999994" customHeight="1">
      <c r="A22" s="84">
        <v>15</v>
      </c>
      <c r="B22" s="27" t="s">
        <v>8</v>
      </c>
      <c r="C22" s="59">
        <v>11</v>
      </c>
      <c r="D22" s="40">
        <v>9</v>
      </c>
      <c r="E22" s="40">
        <v>2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494"/>
      <c r="N22" s="495"/>
      <c r="O22" s="495"/>
      <c r="P22" s="495"/>
      <c r="Q22" s="495"/>
      <c r="R22" s="496"/>
      <c r="S22" s="443"/>
      <c r="T22" s="369"/>
      <c r="U22" s="370"/>
      <c r="V22" s="446"/>
      <c r="W22" s="178"/>
      <c r="Z22" s="1"/>
    </row>
    <row r="23" spans="1:27" ht="80.099999999999994" customHeight="1">
      <c r="A23" s="84">
        <v>16</v>
      </c>
      <c r="B23" s="27" t="s">
        <v>63</v>
      </c>
      <c r="C23" s="59">
        <v>10</v>
      </c>
      <c r="D23" s="40">
        <v>8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87"/>
      <c r="M23" s="497"/>
      <c r="N23" s="498"/>
      <c r="O23" s="498"/>
      <c r="P23" s="498"/>
      <c r="Q23" s="498"/>
      <c r="R23" s="499"/>
      <c r="S23" s="444"/>
      <c r="T23" s="371"/>
      <c r="U23" s="372"/>
      <c r="V23" s="447"/>
      <c r="W23" s="178"/>
      <c r="Z23" s="1"/>
    </row>
    <row r="24" spans="1:27" ht="70.5" customHeight="1">
      <c r="A24" s="84">
        <v>17</v>
      </c>
      <c r="B24" s="27" t="s">
        <v>17</v>
      </c>
      <c r="C24" s="40">
        <v>5</v>
      </c>
      <c r="D24" s="40">
        <v>4</v>
      </c>
      <c r="E24" s="40">
        <v>1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66" t="s">
        <v>284</v>
      </c>
      <c r="N24" s="467"/>
      <c r="O24" s="467"/>
      <c r="P24" s="467"/>
      <c r="Q24" s="467"/>
      <c r="R24" s="468"/>
      <c r="S24" s="442" t="s">
        <v>85</v>
      </c>
      <c r="T24" s="360">
        <v>0</v>
      </c>
      <c r="U24" s="361"/>
      <c r="V24" s="445">
        <v>36658</v>
      </c>
      <c r="W24" s="178"/>
      <c r="Z24" s="1"/>
    </row>
    <row r="25" spans="1:27" ht="69.95" customHeight="1">
      <c r="A25" s="84">
        <v>18</v>
      </c>
      <c r="B25" s="27" t="s">
        <v>43</v>
      </c>
      <c r="C25" s="40">
        <v>1</v>
      </c>
      <c r="D25" s="40"/>
      <c r="E25" s="40">
        <v>1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9"/>
      <c r="N25" s="470"/>
      <c r="O25" s="470"/>
      <c r="P25" s="470"/>
      <c r="Q25" s="470"/>
      <c r="R25" s="471"/>
      <c r="S25" s="443"/>
      <c r="T25" s="362"/>
      <c r="U25" s="363"/>
      <c r="V25" s="446"/>
      <c r="W25" s="209">
        <f>V24+T24</f>
        <v>36658</v>
      </c>
      <c r="Z25" s="1"/>
    </row>
    <row r="26" spans="1:27" ht="69.95" customHeight="1">
      <c r="A26" s="84">
        <v>19</v>
      </c>
      <c r="B26" s="27" t="s">
        <v>45</v>
      </c>
      <c r="C26" s="40">
        <v>2</v>
      </c>
      <c r="D26" s="40"/>
      <c r="E26" s="40">
        <v>2</v>
      </c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69.95" customHeight="1">
      <c r="A27" s="84">
        <v>20</v>
      </c>
      <c r="B27" s="27" t="s">
        <v>58</v>
      </c>
      <c r="C27" s="40">
        <v>1</v>
      </c>
      <c r="D27" s="40">
        <v>1</v>
      </c>
      <c r="E27" s="40"/>
      <c r="F27" s="40">
        <v>20</v>
      </c>
      <c r="G27" s="27" t="s">
        <v>53</v>
      </c>
      <c r="H27" s="40">
        <v>18</v>
      </c>
      <c r="I27" s="40">
        <v>18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69.95" customHeight="1">
      <c r="A28" s="84">
        <v>21</v>
      </c>
      <c r="B28" s="27" t="s">
        <v>101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69.95" customHeight="1">
      <c r="A29" s="84">
        <v>22</v>
      </c>
      <c r="B29" s="27" t="s">
        <v>44</v>
      </c>
      <c r="C29" s="40">
        <v>2</v>
      </c>
      <c r="D29" s="40">
        <v>2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60</v>
      </c>
      <c r="C30" s="40">
        <v>2</v>
      </c>
      <c r="D30" s="40">
        <v>1</v>
      </c>
      <c r="E30" s="40">
        <v>1</v>
      </c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62</v>
      </c>
      <c r="C31" s="40">
        <v>3</v>
      </c>
      <c r="D31" s="40">
        <v>3</v>
      </c>
      <c r="E31" s="40"/>
      <c r="F31" s="40">
        <v>24</v>
      </c>
      <c r="G31" s="27" t="s">
        <v>97</v>
      </c>
      <c r="H31" s="40">
        <v>2</v>
      </c>
      <c r="I31" s="40"/>
      <c r="J31" s="40"/>
      <c r="K31" s="40"/>
      <c r="L31" s="40">
        <v>1</v>
      </c>
      <c r="M31" s="171" t="s">
        <v>253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36</v>
      </c>
      <c r="C32" s="40">
        <v>1</v>
      </c>
      <c r="D32" s="40">
        <v>1</v>
      </c>
      <c r="E32" s="40"/>
      <c r="F32" s="40">
        <v>25</v>
      </c>
      <c r="G32" s="86" t="s">
        <v>220</v>
      </c>
      <c r="H32" s="40">
        <v>1</v>
      </c>
      <c r="I32" s="40"/>
      <c r="J32" s="40"/>
      <c r="K32" s="40"/>
      <c r="L32" s="152">
        <v>2</v>
      </c>
      <c r="M32" s="180"/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93</v>
      </c>
      <c r="C33" s="40">
        <v>1</v>
      </c>
      <c r="D33" s="40">
        <v>1</v>
      </c>
      <c r="E33" s="40"/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46</v>
      </c>
      <c r="C34" s="40">
        <v>1</v>
      </c>
      <c r="D34" s="40">
        <v>1</v>
      </c>
      <c r="E34" s="40"/>
      <c r="F34" s="40"/>
      <c r="G34" s="27"/>
      <c r="H34" s="40"/>
      <c r="I34" s="40"/>
      <c r="J34" s="40"/>
      <c r="K34" s="40"/>
      <c r="L34" s="152">
        <v>3</v>
      </c>
      <c r="M34" s="180"/>
      <c r="N34" s="181"/>
      <c r="O34" s="181"/>
      <c r="P34" s="181"/>
      <c r="Q34" s="181"/>
      <c r="R34" s="182"/>
      <c r="S34" s="90"/>
      <c r="T34" s="162"/>
      <c r="U34" s="163"/>
      <c r="V34" s="91"/>
      <c r="W34" s="179"/>
      <c r="Z34" s="1"/>
    </row>
    <row r="35" spans="1:27" ht="63.75" customHeight="1">
      <c r="A35" s="150" t="s">
        <v>9</v>
      </c>
      <c r="B35" s="151"/>
      <c r="C35" s="61">
        <f>SUM(C7:C34)</f>
        <v>60</v>
      </c>
      <c r="D35" s="61">
        <f>SUM(D7:D34)</f>
        <v>47</v>
      </c>
      <c r="E35" s="61">
        <f>SUM(E7:E34)</f>
        <v>13</v>
      </c>
      <c r="F35" s="151" t="s">
        <v>9</v>
      </c>
      <c r="G35" s="151"/>
      <c r="H35" s="64">
        <f>SUM(H7:H34)</f>
        <v>72</v>
      </c>
      <c r="I35" s="64">
        <f>SUM(I7:I34)</f>
        <v>62</v>
      </c>
      <c r="J35" s="64">
        <f>SUM(J7:J34)</f>
        <v>3</v>
      </c>
      <c r="K35" s="64">
        <f>SUM(K7:K34)</f>
        <v>4</v>
      </c>
      <c r="L35" s="153"/>
      <c r="M35" s="183"/>
      <c r="N35" s="184"/>
      <c r="O35" s="184"/>
      <c r="P35" s="184"/>
      <c r="Q35" s="184"/>
      <c r="R35" s="185"/>
      <c r="S35" s="48"/>
      <c r="T35" s="52"/>
      <c r="U35" s="53"/>
      <c r="V35" s="55"/>
      <c r="W35" s="16"/>
    </row>
    <row r="36" spans="1:27" ht="49.5" customHeight="1">
      <c r="A36" s="456" t="s">
        <v>81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132" t="s">
        <v>33</v>
      </c>
      <c r="P36" s="132"/>
      <c r="Q36" s="132"/>
      <c r="R36" s="132"/>
      <c r="S36" s="132"/>
      <c r="T36" s="132"/>
      <c r="U36" s="132"/>
      <c r="V36" s="133"/>
      <c r="W36" s="16"/>
    </row>
    <row r="37" spans="1:27" ht="54" customHeight="1">
      <c r="A37" s="11" t="s">
        <v>2</v>
      </c>
      <c r="B37" s="27" t="s">
        <v>5</v>
      </c>
      <c r="C37" s="143" t="s">
        <v>24</v>
      </c>
      <c r="D37" s="143"/>
      <c r="E37" s="143" t="s">
        <v>68</v>
      </c>
      <c r="F37" s="143"/>
      <c r="G37" s="143"/>
      <c r="H37" s="143" t="s">
        <v>42</v>
      </c>
      <c r="I37" s="143"/>
      <c r="J37" s="143"/>
      <c r="K37" s="143" t="s">
        <v>41</v>
      </c>
      <c r="L37" s="143"/>
      <c r="M37" s="143"/>
      <c r="N37" s="143"/>
      <c r="O37" s="144" t="s">
        <v>31</v>
      </c>
      <c r="P37" s="145"/>
      <c r="Q37" s="145"/>
      <c r="R37" s="146"/>
      <c r="S37" s="62" t="s">
        <v>75</v>
      </c>
      <c r="T37" s="62" t="s">
        <v>77</v>
      </c>
      <c r="U37" s="62" t="s">
        <v>76</v>
      </c>
      <c r="V37" s="63" t="s">
        <v>32</v>
      </c>
      <c r="W37" s="16"/>
    </row>
    <row r="38" spans="1:27" ht="116.25" customHeight="1">
      <c r="A38" s="85">
        <v>1</v>
      </c>
      <c r="B38" s="74" t="s">
        <v>135</v>
      </c>
      <c r="C38" s="134"/>
      <c r="D38" s="135"/>
      <c r="E38" s="109">
        <v>100</v>
      </c>
      <c r="F38" s="111"/>
      <c r="G38" s="110"/>
      <c r="H38" s="134">
        <v>0</v>
      </c>
      <c r="I38" s="136"/>
      <c r="J38" s="135"/>
      <c r="K38" s="134">
        <v>99</v>
      </c>
      <c r="L38" s="136"/>
      <c r="M38" s="136"/>
      <c r="N38" s="135"/>
      <c r="O38" s="140"/>
      <c r="P38" s="141"/>
      <c r="Q38" s="141"/>
      <c r="R38" s="142"/>
      <c r="S38" s="56"/>
      <c r="T38" s="56"/>
      <c r="U38" s="57"/>
      <c r="V38" s="58"/>
      <c r="W38" s="80">
        <f>K38+H38</f>
        <v>99</v>
      </c>
      <c r="Y38" s="8"/>
    </row>
    <row r="39" spans="1:27" ht="108" customHeight="1">
      <c r="A39" s="85">
        <v>2</v>
      </c>
      <c r="B39" s="74" t="s">
        <v>136</v>
      </c>
      <c r="C39" s="117"/>
      <c r="D39" s="118"/>
      <c r="E39" s="109">
        <v>2616</v>
      </c>
      <c r="F39" s="111"/>
      <c r="G39" s="110"/>
      <c r="H39" s="134">
        <v>0</v>
      </c>
      <c r="I39" s="136"/>
      <c r="J39" s="135"/>
      <c r="K39" s="134">
        <v>683</v>
      </c>
      <c r="L39" s="136"/>
      <c r="M39" s="136"/>
      <c r="N39" s="135"/>
      <c r="O39" s="140"/>
      <c r="P39" s="141"/>
      <c r="Q39" s="141"/>
      <c r="R39" s="142"/>
      <c r="S39" s="56"/>
      <c r="T39" s="56"/>
      <c r="U39" s="57"/>
      <c r="V39" s="58"/>
      <c r="W39" s="80">
        <f t="shared" ref="W39:W46" si="2">K39+H39</f>
        <v>683</v>
      </c>
      <c r="X39" s="2"/>
      <c r="Y39" s="7"/>
      <c r="Z39" s="7"/>
      <c r="AA39" s="9"/>
    </row>
    <row r="40" spans="1:27" ht="100.5" customHeight="1">
      <c r="A40" s="85">
        <v>3</v>
      </c>
      <c r="B40" s="74" t="s">
        <v>80</v>
      </c>
      <c r="C40" s="500"/>
      <c r="D40" s="501"/>
      <c r="E40" s="109">
        <v>178000</v>
      </c>
      <c r="F40" s="111"/>
      <c r="G40" s="110"/>
      <c r="H40" s="109">
        <v>870</v>
      </c>
      <c r="I40" s="111"/>
      <c r="J40" s="110"/>
      <c r="K40" s="109">
        <v>138306</v>
      </c>
      <c r="L40" s="111"/>
      <c r="M40" s="111"/>
      <c r="N40" s="110"/>
      <c r="O40" s="483"/>
      <c r="P40" s="484"/>
      <c r="Q40" s="484"/>
      <c r="R40" s="485"/>
      <c r="S40" s="56"/>
      <c r="T40" s="56"/>
      <c r="U40" s="57"/>
      <c r="V40" s="58"/>
      <c r="W40" s="78">
        <f>K40+H40</f>
        <v>139176</v>
      </c>
      <c r="X40" s="2"/>
      <c r="Y40" s="7"/>
      <c r="Z40" s="7"/>
      <c r="AA40" s="9"/>
    </row>
    <row r="41" spans="1:27" ht="65.099999999999994" customHeight="1">
      <c r="A41" s="85">
        <v>4</v>
      </c>
      <c r="B41" s="74" t="s">
        <v>56</v>
      </c>
      <c r="C41" s="117"/>
      <c r="D41" s="118"/>
      <c r="E41" s="109">
        <v>20920</v>
      </c>
      <c r="F41" s="111"/>
      <c r="G41" s="110"/>
      <c r="H41" s="109">
        <v>0</v>
      </c>
      <c r="I41" s="111"/>
      <c r="J41" s="110"/>
      <c r="K41" s="109">
        <v>15900</v>
      </c>
      <c r="L41" s="111"/>
      <c r="M41" s="111"/>
      <c r="N41" s="110"/>
      <c r="O41" s="132" t="s">
        <v>25</v>
      </c>
      <c r="P41" s="132"/>
      <c r="Q41" s="132"/>
      <c r="R41" s="132"/>
      <c r="S41" s="132"/>
      <c r="T41" s="132"/>
      <c r="U41" s="132"/>
      <c r="V41" s="133"/>
      <c r="W41" s="22">
        <f t="shared" si="2"/>
        <v>15900</v>
      </c>
      <c r="X41" s="2"/>
      <c r="Y41" s="7"/>
      <c r="Z41" s="7"/>
      <c r="AA41" s="9"/>
    </row>
    <row r="42" spans="1:27" ht="65.099999999999994" customHeight="1">
      <c r="A42" s="85">
        <v>5</v>
      </c>
      <c r="B42" s="74" t="s">
        <v>114</v>
      </c>
      <c r="C42" s="122">
        <v>11</v>
      </c>
      <c r="D42" s="123"/>
      <c r="E42" s="109">
        <v>1338</v>
      </c>
      <c r="F42" s="111"/>
      <c r="G42" s="110"/>
      <c r="H42" s="109">
        <v>11</v>
      </c>
      <c r="I42" s="111"/>
      <c r="J42" s="110"/>
      <c r="K42" s="109">
        <v>1338</v>
      </c>
      <c r="L42" s="111"/>
      <c r="M42" s="111"/>
      <c r="N42" s="110"/>
      <c r="O42" s="126" t="s">
        <v>107</v>
      </c>
      <c r="P42" s="127"/>
      <c r="Q42" s="127"/>
      <c r="R42" s="127"/>
      <c r="S42" s="127"/>
      <c r="T42" s="127"/>
      <c r="U42" s="127"/>
      <c r="V42" s="128"/>
      <c r="W42" s="22">
        <f>K42+H42</f>
        <v>1349</v>
      </c>
      <c r="X42" s="2"/>
      <c r="Y42" s="7"/>
      <c r="Z42" s="7"/>
      <c r="AA42" s="9"/>
    </row>
    <row r="43" spans="1:27" ht="65.099999999999994" customHeight="1">
      <c r="A43" s="85">
        <v>6</v>
      </c>
      <c r="B43" s="74" t="s">
        <v>115</v>
      </c>
      <c r="C43" s="122">
        <v>40</v>
      </c>
      <c r="D43" s="123"/>
      <c r="E43" s="109">
        <v>7975</v>
      </c>
      <c r="F43" s="111"/>
      <c r="G43" s="110"/>
      <c r="H43" s="109">
        <v>40</v>
      </c>
      <c r="I43" s="111"/>
      <c r="J43" s="110"/>
      <c r="K43" s="109">
        <v>7975</v>
      </c>
      <c r="L43" s="111"/>
      <c r="M43" s="111"/>
      <c r="N43" s="110"/>
      <c r="O43" s="126" t="s">
        <v>86</v>
      </c>
      <c r="P43" s="127"/>
      <c r="Q43" s="127"/>
      <c r="R43" s="127"/>
      <c r="S43" s="127"/>
      <c r="T43" s="127"/>
      <c r="U43" s="127"/>
      <c r="V43" s="128"/>
      <c r="W43" s="23">
        <f>K43+H43</f>
        <v>8015</v>
      </c>
      <c r="X43" s="2"/>
      <c r="Y43" s="7"/>
      <c r="Z43" s="7"/>
      <c r="AA43" s="9"/>
    </row>
    <row r="44" spans="1:27" ht="65.099999999999994" customHeight="1">
      <c r="A44" s="85">
        <v>7</v>
      </c>
      <c r="B44" s="74" t="s">
        <v>79</v>
      </c>
      <c r="C44" s="117"/>
      <c r="D44" s="118"/>
      <c r="E44" s="109">
        <v>9260</v>
      </c>
      <c r="F44" s="111"/>
      <c r="G44" s="110"/>
      <c r="H44" s="109">
        <v>0</v>
      </c>
      <c r="I44" s="111"/>
      <c r="J44" s="110"/>
      <c r="K44" s="109">
        <v>7980</v>
      </c>
      <c r="L44" s="111"/>
      <c r="M44" s="111"/>
      <c r="N44" s="110"/>
      <c r="O44" s="119" t="s">
        <v>87</v>
      </c>
      <c r="P44" s="120"/>
      <c r="Q44" s="120"/>
      <c r="R44" s="120"/>
      <c r="S44" s="120"/>
      <c r="T44" s="120"/>
      <c r="U44" s="120"/>
      <c r="V44" s="121"/>
      <c r="W44" s="22">
        <f t="shared" si="2"/>
        <v>7980</v>
      </c>
      <c r="X44" s="2"/>
      <c r="Y44" s="7"/>
      <c r="Z44" s="7"/>
      <c r="AA44" s="9"/>
    </row>
    <row r="45" spans="1:27" ht="65.099999999999994" customHeight="1">
      <c r="A45" s="85">
        <v>8</v>
      </c>
      <c r="B45" s="74" t="s">
        <v>98</v>
      </c>
      <c r="C45" s="122"/>
      <c r="D45" s="123"/>
      <c r="E45" s="109">
        <v>2938</v>
      </c>
      <c r="F45" s="111"/>
      <c r="G45" s="110"/>
      <c r="H45" s="109">
        <v>0</v>
      </c>
      <c r="I45" s="111"/>
      <c r="J45" s="110"/>
      <c r="K45" s="109">
        <v>400</v>
      </c>
      <c r="L45" s="111"/>
      <c r="M45" s="111"/>
      <c r="N45" s="110"/>
      <c r="O45" s="124" t="s">
        <v>96</v>
      </c>
      <c r="P45" s="124"/>
      <c r="Q45" s="124"/>
      <c r="R45" s="124"/>
      <c r="S45" s="124"/>
      <c r="T45" s="124"/>
      <c r="U45" s="124"/>
      <c r="V45" s="125"/>
      <c r="W45" s="22">
        <f t="shared" si="2"/>
        <v>400</v>
      </c>
      <c r="X45" s="2"/>
      <c r="Y45" s="7"/>
      <c r="Z45" s="7"/>
      <c r="AA45" s="9"/>
    </row>
    <row r="46" spans="1:27" ht="65.099999999999994" customHeight="1">
      <c r="A46" s="85">
        <v>9</v>
      </c>
      <c r="B46" s="74" t="s">
        <v>99</v>
      </c>
      <c r="C46" s="109"/>
      <c r="D46" s="110"/>
      <c r="E46" s="109">
        <v>1523</v>
      </c>
      <c r="F46" s="111"/>
      <c r="G46" s="110"/>
      <c r="H46" s="109">
        <v>0</v>
      </c>
      <c r="I46" s="111"/>
      <c r="J46" s="110"/>
      <c r="K46" s="109">
        <v>200</v>
      </c>
      <c r="L46" s="111"/>
      <c r="M46" s="111"/>
      <c r="N46" s="110"/>
      <c r="O46" s="399"/>
      <c r="P46" s="399"/>
      <c r="Q46" s="399"/>
      <c r="R46" s="399"/>
      <c r="S46" s="399"/>
      <c r="T46" s="399"/>
      <c r="U46" s="399"/>
      <c r="V46" s="400"/>
      <c r="W46" s="22">
        <f t="shared" si="2"/>
        <v>200</v>
      </c>
      <c r="X46" s="2"/>
      <c r="Y46" s="7"/>
      <c r="Z46" s="7"/>
      <c r="AA46" s="9"/>
    </row>
    <row r="47" spans="1:27" ht="69" customHeight="1">
      <c r="A47" s="488" t="s">
        <v>90</v>
      </c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9"/>
      <c r="Q47" s="489"/>
      <c r="R47" s="489"/>
      <c r="S47" s="489"/>
      <c r="T47" s="489"/>
      <c r="U47" s="489"/>
      <c r="V47" s="490"/>
      <c r="W47" s="21"/>
      <c r="X47" s="2"/>
      <c r="Y47" s="7">
        <f>14050+100</f>
        <v>14150</v>
      </c>
      <c r="Z47" s="7"/>
      <c r="AA47" s="9"/>
    </row>
    <row r="48" spans="1:27" s="44" customFormat="1" ht="54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  <c r="W48" s="41"/>
      <c r="X48" s="42"/>
      <c r="Y48" s="42"/>
      <c r="Z48" s="42"/>
      <c r="AA48" s="43"/>
    </row>
    <row r="49" spans="1:22" ht="97.5" customHeight="1">
      <c r="A49" s="96" t="s">
        <v>88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8"/>
      <c r="O49" s="99" t="s">
        <v>18</v>
      </c>
      <c r="P49" s="99"/>
      <c r="Q49" s="99"/>
      <c r="R49" s="99"/>
      <c r="S49" s="99"/>
      <c r="T49" s="99"/>
      <c r="U49" s="99"/>
      <c r="V49" s="100"/>
    </row>
    <row r="50" spans="1:22" ht="63.75" customHeight="1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452" t="s">
        <v>67</v>
      </c>
      <c r="P50" s="452"/>
      <c r="Q50" s="452"/>
      <c r="R50" s="452"/>
      <c r="S50" s="452"/>
      <c r="T50" s="452"/>
      <c r="U50" s="452"/>
      <c r="V50" s="453"/>
    </row>
    <row r="51" spans="1:22" ht="45" customHeight="1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452"/>
      <c r="P51" s="452"/>
      <c r="Q51" s="452"/>
      <c r="R51" s="452"/>
      <c r="S51" s="452"/>
      <c r="T51" s="452"/>
      <c r="U51" s="452"/>
      <c r="V51" s="453"/>
    </row>
    <row r="52" spans="1:22" ht="45" customHeight="1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452"/>
      <c r="P52" s="452"/>
      <c r="Q52" s="452"/>
      <c r="R52" s="452"/>
      <c r="S52" s="452"/>
      <c r="T52" s="452"/>
      <c r="U52" s="452"/>
      <c r="V52" s="453"/>
    </row>
    <row r="53" spans="1:22" ht="88.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/>
      <c r="P53" s="452"/>
      <c r="Q53" s="452"/>
      <c r="R53" s="452"/>
      <c r="S53" s="452"/>
      <c r="T53" s="452"/>
      <c r="U53" s="452"/>
      <c r="V53" s="453"/>
    </row>
    <row r="54" spans="1:22" ht="123.75" customHeight="1" thickBot="1">
      <c r="A54" s="103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454"/>
      <c r="P54" s="454"/>
      <c r="Q54" s="454"/>
      <c r="R54" s="454"/>
      <c r="S54" s="454"/>
      <c r="T54" s="454"/>
      <c r="U54" s="454"/>
      <c r="V54" s="455"/>
    </row>
    <row r="57" spans="1:22">
      <c r="S57" s="28"/>
      <c r="T57" s="28"/>
      <c r="U57" s="28"/>
    </row>
    <row r="58" spans="1:22">
      <c r="G58" s="88"/>
      <c r="H58" s="89"/>
      <c r="I58" s="89"/>
      <c r="J58" s="89"/>
      <c r="S58" s="28"/>
      <c r="T58" s="28"/>
      <c r="U58" s="29"/>
    </row>
    <row r="59" spans="1:22">
      <c r="G59" s="88"/>
      <c r="H59" s="89"/>
      <c r="I59" s="89"/>
      <c r="J59" s="89"/>
      <c r="S59" s="28"/>
      <c r="T59" s="28"/>
      <c r="U59" s="30"/>
    </row>
    <row r="60" spans="1:22">
      <c r="G60" s="88"/>
      <c r="H60" s="89"/>
      <c r="I60" s="89"/>
      <c r="J60" s="89"/>
      <c r="S60" s="28"/>
      <c r="T60" s="28"/>
      <c r="U60" s="28"/>
    </row>
    <row r="61" spans="1:22">
      <c r="G61" s="88"/>
      <c r="H61" s="89"/>
      <c r="I61" s="89"/>
      <c r="J61" s="89"/>
    </row>
    <row r="62" spans="1:22">
      <c r="G62" s="88"/>
      <c r="H62" s="89"/>
      <c r="I62" s="89"/>
      <c r="J62" s="89"/>
    </row>
    <row r="63" spans="1:22">
      <c r="G63" s="88"/>
      <c r="H63" s="89"/>
      <c r="I63" s="89"/>
      <c r="J63" s="89"/>
    </row>
    <row r="64" spans="1:22">
      <c r="G64" s="88"/>
      <c r="H64" s="89"/>
      <c r="I64" s="89"/>
      <c r="J64" s="89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 s="3" customFormat="1">
      <c r="A67"/>
      <c r="B67" s="15"/>
      <c r="G67" s="88"/>
      <c r="H67" s="89"/>
      <c r="I67" s="89"/>
      <c r="J67" s="89"/>
      <c r="W67" s="20"/>
      <c r="X67"/>
      <c r="Y67"/>
      <c r="Z67"/>
      <c r="AA67"/>
      <c r="AB67"/>
      <c r="AC67"/>
      <c r="AD67"/>
      <c r="AE67"/>
    </row>
    <row r="68" spans="1:31" s="3" customFormat="1">
      <c r="A68"/>
      <c r="B68" s="15"/>
      <c r="G68" s="88"/>
      <c r="H68" s="89"/>
      <c r="I68" s="89"/>
      <c r="J68" s="89"/>
      <c r="W68" s="20"/>
      <c r="X68"/>
      <c r="Y68"/>
      <c r="Z68"/>
      <c r="AA68"/>
      <c r="AB68"/>
      <c r="AC68"/>
      <c r="AD68"/>
      <c r="AE68"/>
    </row>
    <row r="69" spans="1:31" s="3" customFormat="1">
      <c r="A69"/>
      <c r="B69" s="15"/>
      <c r="G69" s="88"/>
      <c r="H69" s="89"/>
      <c r="I69" s="89"/>
      <c r="J69" s="89"/>
      <c r="W69" s="20"/>
      <c r="X69"/>
      <c r="Y69"/>
      <c r="Z69"/>
      <c r="AA69"/>
      <c r="AB69"/>
      <c r="AC69"/>
      <c r="AD69"/>
      <c r="AE69"/>
    </row>
    <row r="70" spans="1:31" s="3" customFormat="1">
      <c r="A70"/>
      <c r="B70" s="15"/>
      <c r="G70" s="88"/>
      <c r="H70" s="89"/>
      <c r="I70" s="89"/>
      <c r="J70" s="89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J75" s="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J76" s="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J77" s="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N104" s="3">
        <v>24</v>
      </c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N105" s="3">
        <v>22</v>
      </c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N106" s="3">
        <v>19</v>
      </c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22</v>
      </c>
      <c r="W107" s="20"/>
      <c r="X107"/>
      <c r="Y107"/>
      <c r="Z107"/>
      <c r="AA107"/>
      <c r="AB107"/>
      <c r="AC107"/>
      <c r="AD107"/>
      <c r="AE107"/>
    </row>
  </sheetData>
  <autoFilter ref="A6:AE47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W18:W19"/>
    <mergeCell ref="L20:L24"/>
    <mergeCell ref="M20:R23"/>
    <mergeCell ref="S20:S23"/>
    <mergeCell ref="T20:U23"/>
    <mergeCell ref="V20:V23"/>
    <mergeCell ref="W20:W24"/>
    <mergeCell ref="M24:R29"/>
    <mergeCell ref="S24:S29"/>
    <mergeCell ref="T24:U29"/>
    <mergeCell ref="V24:V29"/>
    <mergeCell ref="L25:L29"/>
    <mergeCell ref="W25:W29"/>
    <mergeCell ref="L30:V30"/>
    <mergeCell ref="M31:R31"/>
    <mergeCell ref="W31:W34"/>
    <mergeCell ref="L32:L33"/>
    <mergeCell ref="M32:R33"/>
    <mergeCell ref="S32:S33"/>
    <mergeCell ref="T32:U33"/>
    <mergeCell ref="A36:N36"/>
    <mergeCell ref="O36:V36"/>
    <mergeCell ref="A35:B35"/>
    <mergeCell ref="C37:D37"/>
    <mergeCell ref="E37:G37"/>
    <mergeCell ref="H37:J37"/>
    <mergeCell ref="K37:N37"/>
    <mergeCell ref="O37:R37"/>
    <mergeCell ref="V32:V33"/>
    <mergeCell ref="L34:L35"/>
    <mergeCell ref="M34:R35"/>
    <mergeCell ref="T34:U34"/>
    <mergeCell ref="F35:G35"/>
    <mergeCell ref="C38:D38"/>
    <mergeCell ref="E38:G38"/>
    <mergeCell ref="H38:J38"/>
    <mergeCell ref="K38:N38"/>
    <mergeCell ref="O38:R38"/>
    <mergeCell ref="C39:D39"/>
    <mergeCell ref="E39:G39"/>
    <mergeCell ref="H39:J39"/>
    <mergeCell ref="K39:N39"/>
    <mergeCell ref="O39:R39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V41"/>
    <mergeCell ref="C42:D42"/>
    <mergeCell ref="E42:G42"/>
    <mergeCell ref="H42:J42"/>
    <mergeCell ref="K42:N42"/>
    <mergeCell ref="O42:V42"/>
    <mergeCell ref="C43:D43"/>
    <mergeCell ref="E43:G43"/>
    <mergeCell ref="H43:J43"/>
    <mergeCell ref="K43:N43"/>
    <mergeCell ref="O43:V43"/>
    <mergeCell ref="C44:D44"/>
    <mergeCell ref="E44:G44"/>
    <mergeCell ref="H44:J44"/>
    <mergeCell ref="K44:N44"/>
    <mergeCell ref="O44:V44"/>
    <mergeCell ref="C45:D45"/>
    <mergeCell ref="E45:G45"/>
    <mergeCell ref="H45:J45"/>
    <mergeCell ref="K45:N45"/>
    <mergeCell ref="O45:V45"/>
    <mergeCell ref="A48:V48"/>
    <mergeCell ref="A49:N49"/>
    <mergeCell ref="O49:V49"/>
    <mergeCell ref="A50:N54"/>
    <mergeCell ref="O50:V54"/>
    <mergeCell ref="C46:D46"/>
    <mergeCell ref="E46:G46"/>
    <mergeCell ref="H46:J46"/>
    <mergeCell ref="K46:N46"/>
    <mergeCell ref="O46:V46"/>
    <mergeCell ref="A47:V47"/>
  </mergeCells>
  <printOptions horizontalCentered="1"/>
  <pageMargins left="0.25" right="0.25" top="0" bottom="2.5" header="0" footer="0"/>
  <pageSetup paperSize="5" scale="23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752E-59B2-459D-8D91-A297A09D0718}">
  <sheetPr>
    <pageSetUpPr fitToPage="1"/>
  </sheetPr>
  <dimension ref="A1:AH107"/>
  <sheetViews>
    <sheetView rightToLeft="1" view="pageBreakPreview" topLeftCell="A19" zoomScale="40" zoomScaleNormal="110" zoomScaleSheetLayoutView="40" workbookViewId="0">
      <selection activeCell="M20" sqref="M20:R23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5.57031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502" t="s">
        <v>157</v>
      </c>
      <c r="S1" s="297" t="s">
        <v>286</v>
      </c>
      <c r="T1" s="297"/>
      <c r="U1" s="462" t="s">
        <v>287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503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503"/>
      <c r="S3" s="299"/>
      <c r="T3" s="299"/>
      <c r="U3" s="464"/>
      <c r="V3" s="465"/>
      <c r="W3" s="16"/>
      <c r="Y3">
        <f>20780-20000</f>
        <v>780</v>
      </c>
    </row>
    <row r="4" spans="1:34" ht="54.7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71.2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288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1</v>
      </c>
      <c r="D10" s="40">
        <v>1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295</v>
      </c>
      <c r="N11" s="391"/>
      <c r="O11" s="391"/>
      <c r="P11" s="391"/>
      <c r="Q11" s="391"/>
      <c r="R11" s="392"/>
      <c r="S11" s="160" t="s">
        <v>57</v>
      </c>
      <c r="T11" s="360">
        <v>1630</v>
      </c>
      <c r="U11" s="361"/>
      <c r="V11" s="445">
        <v>242735</v>
      </c>
      <c r="W11" s="236">
        <f>V11+T11</f>
        <v>244365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3</v>
      </c>
      <c r="E13" s="40"/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1</v>
      </c>
      <c r="D14" s="40">
        <v>1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2</v>
      </c>
      <c r="E15" s="40">
        <v>1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0">
        <v>1620</v>
      </c>
      <c r="U16" s="361"/>
      <c r="V16" s="445">
        <v>58974</v>
      </c>
      <c r="W16" s="47">
        <f>V16+T16</f>
        <v>60594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3</v>
      </c>
      <c r="I18" s="40">
        <v>2</v>
      </c>
      <c r="J18" s="40">
        <v>1</v>
      </c>
      <c r="K18" s="40"/>
      <c r="L18" s="186">
        <v>5</v>
      </c>
      <c r="M18" s="475" t="s">
        <v>294</v>
      </c>
      <c r="N18" s="476"/>
      <c r="O18" s="476"/>
      <c r="P18" s="476"/>
      <c r="Q18" s="476"/>
      <c r="R18" s="477"/>
      <c r="S18" s="160" t="s">
        <v>85</v>
      </c>
      <c r="T18" s="360">
        <v>1620</v>
      </c>
      <c r="U18" s="361"/>
      <c r="V18" s="445">
        <v>114096</v>
      </c>
      <c r="W18" s="178">
        <f>V18+T18</f>
        <v>115716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4</v>
      </c>
      <c r="J19" s="40">
        <v>1</v>
      </c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80.099999999999994" customHeight="1">
      <c r="A20" s="84">
        <v>13</v>
      </c>
      <c r="B20" s="14" t="s">
        <v>94</v>
      </c>
      <c r="C20" s="40">
        <v>1</v>
      </c>
      <c r="D20" s="40">
        <v>1</v>
      </c>
      <c r="E20" s="40"/>
      <c r="F20" s="40">
        <v>13</v>
      </c>
      <c r="G20" s="27" t="s">
        <v>19</v>
      </c>
      <c r="H20" s="40">
        <v>3</v>
      </c>
      <c r="I20" s="40">
        <v>2</v>
      </c>
      <c r="J20" s="40">
        <v>1</v>
      </c>
      <c r="K20" s="40"/>
      <c r="L20" s="152">
        <v>6</v>
      </c>
      <c r="M20" s="491" t="s">
        <v>290</v>
      </c>
      <c r="N20" s="492"/>
      <c r="O20" s="492"/>
      <c r="P20" s="492"/>
      <c r="Q20" s="492"/>
      <c r="R20" s="493"/>
      <c r="S20" s="442" t="s">
        <v>85</v>
      </c>
      <c r="T20" s="367">
        <v>657</v>
      </c>
      <c r="U20" s="368"/>
      <c r="V20" s="445">
        <v>43551</v>
      </c>
      <c r="W20" s="178">
        <f>V20+T20</f>
        <v>44208</v>
      </c>
      <c r="Z20" s="1"/>
    </row>
    <row r="21" spans="1:27" ht="80.099999999999994" customHeight="1">
      <c r="A21" s="84">
        <v>14</v>
      </c>
      <c r="B21" s="31" t="s">
        <v>225</v>
      </c>
      <c r="C21" s="40">
        <v>1</v>
      </c>
      <c r="D21" s="40">
        <v>1</v>
      </c>
      <c r="E21" s="40"/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494"/>
      <c r="N21" s="495"/>
      <c r="O21" s="495"/>
      <c r="P21" s="495"/>
      <c r="Q21" s="495"/>
      <c r="R21" s="496"/>
      <c r="S21" s="443"/>
      <c r="T21" s="369"/>
      <c r="U21" s="370"/>
      <c r="V21" s="446"/>
      <c r="W21" s="178"/>
      <c r="Z21" s="1"/>
    </row>
    <row r="22" spans="1:27" ht="80.099999999999994" customHeight="1">
      <c r="A22" s="84">
        <v>15</v>
      </c>
      <c r="B22" s="27" t="s">
        <v>8</v>
      </c>
      <c r="C22" s="59">
        <v>11</v>
      </c>
      <c r="D22" s="40">
        <v>9</v>
      </c>
      <c r="E22" s="40">
        <v>2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494"/>
      <c r="N22" s="495"/>
      <c r="O22" s="495"/>
      <c r="P22" s="495"/>
      <c r="Q22" s="495"/>
      <c r="R22" s="496"/>
      <c r="S22" s="443"/>
      <c r="T22" s="369"/>
      <c r="U22" s="370"/>
      <c r="V22" s="446"/>
      <c r="W22" s="178"/>
      <c r="Z22" s="1"/>
    </row>
    <row r="23" spans="1:27" ht="80.099999999999994" customHeight="1">
      <c r="A23" s="84">
        <v>16</v>
      </c>
      <c r="B23" s="27" t="s">
        <v>63</v>
      </c>
      <c r="C23" s="59">
        <v>10</v>
      </c>
      <c r="D23" s="40">
        <v>8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87"/>
      <c r="M23" s="497"/>
      <c r="N23" s="498"/>
      <c r="O23" s="498"/>
      <c r="P23" s="498"/>
      <c r="Q23" s="498"/>
      <c r="R23" s="499"/>
      <c r="S23" s="444"/>
      <c r="T23" s="371"/>
      <c r="U23" s="372"/>
      <c r="V23" s="447"/>
      <c r="W23" s="178"/>
      <c r="Z23" s="1"/>
    </row>
    <row r="24" spans="1:27" ht="70.5" customHeight="1">
      <c r="A24" s="84">
        <v>17</v>
      </c>
      <c r="B24" s="27" t="s">
        <v>17</v>
      </c>
      <c r="C24" s="40">
        <v>5</v>
      </c>
      <c r="D24" s="40">
        <v>4</v>
      </c>
      <c r="E24" s="40">
        <v>1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66" t="s">
        <v>289</v>
      </c>
      <c r="N24" s="467"/>
      <c r="O24" s="467"/>
      <c r="P24" s="467"/>
      <c r="Q24" s="467"/>
      <c r="R24" s="468"/>
      <c r="S24" s="442" t="s">
        <v>85</v>
      </c>
      <c r="T24" s="360">
        <v>1293</v>
      </c>
      <c r="U24" s="361"/>
      <c r="V24" s="445">
        <v>37951</v>
      </c>
      <c r="W24" s="178"/>
      <c r="Z24" s="1"/>
    </row>
    <row r="25" spans="1:27" ht="69.95" customHeight="1">
      <c r="A25" s="84">
        <v>18</v>
      </c>
      <c r="B25" s="27" t="s">
        <v>43</v>
      </c>
      <c r="C25" s="40">
        <v>1</v>
      </c>
      <c r="D25" s="40"/>
      <c r="E25" s="40">
        <v>1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69"/>
      <c r="N25" s="470"/>
      <c r="O25" s="470"/>
      <c r="P25" s="470"/>
      <c r="Q25" s="470"/>
      <c r="R25" s="471"/>
      <c r="S25" s="443"/>
      <c r="T25" s="362"/>
      <c r="U25" s="363"/>
      <c r="V25" s="446"/>
      <c r="W25" s="209">
        <f>V24+T24</f>
        <v>39244</v>
      </c>
      <c r="Z25" s="1"/>
    </row>
    <row r="26" spans="1:27" ht="69.95" customHeight="1">
      <c r="A26" s="84">
        <v>19</v>
      </c>
      <c r="B26" s="27" t="s">
        <v>45</v>
      </c>
      <c r="C26" s="40">
        <v>2</v>
      </c>
      <c r="D26" s="40"/>
      <c r="E26" s="40">
        <v>2</v>
      </c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69"/>
      <c r="N26" s="470"/>
      <c r="O26" s="470"/>
      <c r="P26" s="470"/>
      <c r="Q26" s="470"/>
      <c r="R26" s="471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69.95" customHeight="1">
      <c r="A27" s="84">
        <v>20</v>
      </c>
      <c r="B27" s="27" t="s">
        <v>58</v>
      </c>
      <c r="C27" s="40">
        <v>1</v>
      </c>
      <c r="D27" s="40">
        <v>1</v>
      </c>
      <c r="E27" s="40"/>
      <c r="F27" s="40">
        <v>20</v>
      </c>
      <c r="G27" s="27" t="s">
        <v>53</v>
      </c>
      <c r="H27" s="40">
        <v>18</v>
      </c>
      <c r="I27" s="40">
        <v>18</v>
      </c>
      <c r="J27" s="40"/>
      <c r="K27" s="40"/>
      <c r="L27" s="187"/>
      <c r="M27" s="469"/>
      <c r="N27" s="470"/>
      <c r="O27" s="470"/>
      <c r="P27" s="470"/>
      <c r="Q27" s="470"/>
      <c r="R27" s="471"/>
      <c r="S27" s="443"/>
      <c r="T27" s="362"/>
      <c r="U27" s="363"/>
      <c r="V27" s="446"/>
      <c r="W27" s="209"/>
      <c r="Z27" s="34">
        <v>118349</v>
      </c>
    </row>
    <row r="28" spans="1:27" s="6" customFormat="1" ht="69.95" customHeight="1">
      <c r="A28" s="84">
        <v>21</v>
      </c>
      <c r="B28" s="27" t="s">
        <v>101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69"/>
      <c r="N28" s="470"/>
      <c r="O28" s="470"/>
      <c r="P28" s="470"/>
      <c r="Q28" s="470"/>
      <c r="R28" s="471"/>
      <c r="S28" s="443"/>
      <c r="T28" s="362"/>
      <c r="U28" s="363"/>
      <c r="V28" s="446"/>
      <c r="W28" s="209"/>
      <c r="Z28" s="34"/>
    </row>
    <row r="29" spans="1:27" s="6" customFormat="1" ht="69.95" customHeight="1">
      <c r="A29" s="84">
        <v>22</v>
      </c>
      <c r="B29" s="27" t="s">
        <v>44</v>
      </c>
      <c r="C29" s="40">
        <v>2</v>
      </c>
      <c r="D29" s="40">
        <v>2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72"/>
      <c r="N29" s="473"/>
      <c r="O29" s="473"/>
      <c r="P29" s="473"/>
      <c r="Q29" s="473"/>
      <c r="R29" s="474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60</v>
      </c>
      <c r="C30" s="40">
        <v>2</v>
      </c>
      <c r="D30" s="40">
        <v>1</v>
      </c>
      <c r="E30" s="40">
        <v>1</v>
      </c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62</v>
      </c>
      <c r="C31" s="40">
        <v>3</v>
      </c>
      <c r="D31" s="40">
        <v>3</v>
      </c>
      <c r="E31" s="40"/>
      <c r="F31" s="40">
        <v>24</v>
      </c>
      <c r="G31" s="27" t="s">
        <v>97</v>
      </c>
      <c r="H31" s="40">
        <v>2</v>
      </c>
      <c r="I31" s="40"/>
      <c r="J31" s="40"/>
      <c r="K31" s="40"/>
      <c r="L31" s="40">
        <v>1</v>
      </c>
      <c r="M31" s="171" t="s">
        <v>253</v>
      </c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36</v>
      </c>
      <c r="C32" s="40">
        <v>1</v>
      </c>
      <c r="D32" s="40">
        <v>1</v>
      </c>
      <c r="E32" s="40"/>
      <c r="F32" s="40">
        <v>25</v>
      </c>
      <c r="G32" s="86" t="s">
        <v>220</v>
      </c>
      <c r="H32" s="40">
        <v>1</v>
      </c>
      <c r="I32" s="40"/>
      <c r="J32" s="40"/>
      <c r="K32" s="40"/>
      <c r="L32" s="152">
        <v>2</v>
      </c>
      <c r="M32" s="180" t="s">
        <v>285</v>
      </c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93</v>
      </c>
      <c r="C33" s="40">
        <v>1</v>
      </c>
      <c r="D33" s="40">
        <v>1</v>
      </c>
      <c r="E33" s="40"/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46</v>
      </c>
      <c r="C34" s="40">
        <v>1</v>
      </c>
      <c r="D34" s="40"/>
      <c r="E34" s="40">
        <v>1</v>
      </c>
      <c r="F34" s="40"/>
      <c r="G34" s="27"/>
      <c r="H34" s="40"/>
      <c r="I34" s="40"/>
      <c r="J34" s="40"/>
      <c r="K34" s="40"/>
      <c r="L34" s="152">
        <v>3</v>
      </c>
      <c r="M34" s="180"/>
      <c r="N34" s="181"/>
      <c r="O34" s="181"/>
      <c r="P34" s="181"/>
      <c r="Q34" s="181"/>
      <c r="R34" s="182"/>
      <c r="S34" s="90"/>
      <c r="T34" s="162"/>
      <c r="U34" s="163"/>
      <c r="V34" s="91"/>
      <c r="W34" s="179"/>
      <c r="Z34" s="1"/>
    </row>
    <row r="35" spans="1:27" ht="63.75" customHeight="1">
      <c r="A35" s="150" t="s">
        <v>9</v>
      </c>
      <c r="B35" s="151"/>
      <c r="C35" s="61">
        <f>SUM(C7:C34)</f>
        <v>59</v>
      </c>
      <c r="D35" s="61">
        <f>SUM(D7:D34)</f>
        <v>47</v>
      </c>
      <c r="E35" s="61">
        <f>SUM(E7:E34)</f>
        <v>12</v>
      </c>
      <c r="F35" s="151" t="s">
        <v>9</v>
      </c>
      <c r="G35" s="151"/>
      <c r="H35" s="64">
        <f>SUM(H7:H34)</f>
        <v>74</v>
      </c>
      <c r="I35" s="64">
        <f>SUM(I7:I34)</f>
        <v>62</v>
      </c>
      <c r="J35" s="64">
        <f>SUM(J7:J34)</f>
        <v>5</v>
      </c>
      <c r="K35" s="64">
        <f>SUM(K7:K34)</f>
        <v>4</v>
      </c>
      <c r="L35" s="153"/>
      <c r="M35" s="183"/>
      <c r="N35" s="184"/>
      <c r="O35" s="184"/>
      <c r="P35" s="184"/>
      <c r="Q35" s="184"/>
      <c r="R35" s="185"/>
      <c r="S35" s="48"/>
      <c r="T35" s="52"/>
      <c r="U35" s="53"/>
      <c r="V35" s="55"/>
      <c r="W35" s="16"/>
    </row>
    <row r="36" spans="1:27" ht="49.5" customHeight="1">
      <c r="A36" s="456" t="s">
        <v>81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132" t="s">
        <v>33</v>
      </c>
      <c r="P36" s="132"/>
      <c r="Q36" s="132"/>
      <c r="R36" s="132"/>
      <c r="S36" s="132"/>
      <c r="T36" s="132"/>
      <c r="U36" s="132"/>
      <c r="V36" s="133"/>
      <c r="W36" s="16"/>
    </row>
    <row r="37" spans="1:27" ht="54" customHeight="1">
      <c r="A37" s="11" t="s">
        <v>2</v>
      </c>
      <c r="B37" s="27" t="s">
        <v>5</v>
      </c>
      <c r="C37" s="143" t="s">
        <v>24</v>
      </c>
      <c r="D37" s="143"/>
      <c r="E37" s="143" t="s">
        <v>68</v>
      </c>
      <c r="F37" s="143"/>
      <c r="G37" s="143"/>
      <c r="H37" s="143" t="s">
        <v>42</v>
      </c>
      <c r="I37" s="143"/>
      <c r="J37" s="143"/>
      <c r="K37" s="143" t="s">
        <v>41</v>
      </c>
      <c r="L37" s="143"/>
      <c r="M37" s="143"/>
      <c r="N37" s="143"/>
      <c r="O37" s="144" t="s">
        <v>31</v>
      </c>
      <c r="P37" s="145"/>
      <c r="Q37" s="145"/>
      <c r="R37" s="146"/>
      <c r="S37" s="62" t="s">
        <v>75</v>
      </c>
      <c r="T37" s="62" t="s">
        <v>77</v>
      </c>
      <c r="U37" s="62" t="s">
        <v>76</v>
      </c>
      <c r="V37" s="63" t="s">
        <v>32</v>
      </c>
      <c r="W37" s="16"/>
    </row>
    <row r="38" spans="1:27" ht="116.25" customHeight="1">
      <c r="A38" s="85">
        <v>1</v>
      </c>
      <c r="B38" s="74" t="s">
        <v>135</v>
      </c>
      <c r="C38" s="134"/>
      <c r="D38" s="135"/>
      <c r="E38" s="109">
        <v>100</v>
      </c>
      <c r="F38" s="111"/>
      <c r="G38" s="110"/>
      <c r="H38" s="134">
        <v>0</v>
      </c>
      <c r="I38" s="136"/>
      <c r="J38" s="135"/>
      <c r="K38" s="134">
        <v>99</v>
      </c>
      <c r="L38" s="136"/>
      <c r="M38" s="136"/>
      <c r="N38" s="135"/>
      <c r="O38" s="483" t="s">
        <v>291</v>
      </c>
      <c r="P38" s="484"/>
      <c r="Q38" s="484"/>
      <c r="R38" s="485"/>
      <c r="S38" s="56" t="s">
        <v>129</v>
      </c>
      <c r="T38" s="56" t="s">
        <v>88</v>
      </c>
      <c r="U38" s="56" t="s">
        <v>293</v>
      </c>
      <c r="V38" s="58" t="s">
        <v>292</v>
      </c>
      <c r="W38" s="80">
        <f>K38+H38</f>
        <v>99</v>
      </c>
      <c r="Y38" s="8"/>
    </row>
    <row r="39" spans="1:27" ht="108" customHeight="1">
      <c r="A39" s="85">
        <v>2</v>
      </c>
      <c r="B39" s="74" t="s">
        <v>136</v>
      </c>
      <c r="C39" s="117"/>
      <c r="D39" s="118"/>
      <c r="E39" s="109">
        <v>2616</v>
      </c>
      <c r="F39" s="111"/>
      <c r="G39" s="110"/>
      <c r="H39" s="134">
        <v>0</v>
      </c>
      <c r="I39" s="136"/>
      <c r="J39" s="135"/>
      <c r="K39" s="134">
        <v>683</v>
      </c>
      <c r="L39" s="136"/>
      <c r="M39" s="136"/>
      <c r="N39" s="135"/>
      <c r="O39" s="140"/>
      <c r="P39" s="141"/>
      <c r="Q39" s="141"/>
      <c r="R39" s="142"/>
      <c r="S39" s="56"/>
      <c r="T39" s="56"/>
      <c r="U39" s="57"/>
      <c r="V39" s="58"/>
      <c r="W39" s="80">
        <f t="shared" ref="W39:W46" si="2">K39+H39</f>
        <v>683</v>
      </c>
      <c r="X39" s="2"/>
      <c r="Y39" s="7"/>
      <c r="Z39" s="7"/>
      <c r="AA39" s="9"/>
    </row>
    <row r="40" spans="1:27" ht="100.5" customHeight="1">
      <c r="A40" s="85">
        <v>3</v>
      </c>
      <c r="B40" s="74" t="s">
        <v>80</v>
      </c>
      <c r="C40" s="500"/>
      <c r="D40" s="501"/>
      <c r="E40" s="109">
        <v>178000</v>
      </c>
      <c r="F40" s="111"/>
      <c r="G40" s="110"/>
      <c r="H40" s="109">
        <v>1200</v>
      </c>
      <c r="I40" s="111"/>
      <c r="J40" s="110"/>
      <c r="K40" s="109">
        <v>139506</v>
      </c>
      <c r="L40" s="111"/>
      <c r="M40" s="111"/>
      <c r="N40" s="110"/>
      <c r="O40" s="483"/>
      <c r="P40" s="484"/>
      <c r="Q40" s="484"/>
      <c r="R40" s="485"/>
      <c r="S40" s="56"/>
      <c r="T40" s="56"/>
      <c r="U40" s="57"/>
      <c r="V40" s="58"/>
      <c r="W40" s="78">
        <f>K40+H40</f>
        <v>140706</v>
      </c>
      <c r="X40" s="2"/>
      <c r="Y40" s="7"/>
      <c r="Z40" s="7"/>
      <c r="AA40" s="9"/>
    </row>
    <row r="41" spans="1:27" ht="65.099999999999994" customHeight="1">
      <c r="A41" s="85">
        <v>4</v>
      </c>
      <c r="B41" s="74" t="s">
        <v>56</v>
      </c>
      <c r="C41" s="117"/>
      <c r="D41" s="118"/>
      <c r="E41" s="109">
        <v>20920</v>
      </c>
      <c r="F41" s="111"/>
      <c r="G41" s="110"/>
      <c r="H41" s="109">
        <v>0</v>
      </c>
      <c r="I41" s="111"/>
      <c r="J41" s="110"/>
      <c r="K41" s="109">
        <v>15900</v>
      </c>
      <c r="L41" s="111"/>
      <c r="M41" s="111"/>
      <c r="N41" s="110"/>
      <c r="O41" s="132" t="s">
        <v>25</v>
      </c>
      <c r="P41" s="132"/>
      <c r="Q41" s="132"/>
      <c r="R41" s="132"/>
      <c r="S41" s="132"/>
      <c r="T41" s="132"/>
      <c r="U41" s="132"/>
      <c r="V41" s="133"/>
      <c r="W41" s="22">
        <f t="shared" si="2"/>
        <v>15900</v>
      </c>
      <c r="X41" s="2"/>
      <c r="Y41" s="7"/>
      <c r="Z41" s="7"/>
      <c r="AA41" s="9"/>
    </row>
    <row r="42" spans="1:27" ht="65.099999999999994" customHeight="1">
      <c r="A42" s="85">
        <v>5</v>
      </c>
      <c r="B42" s="74" t="s">
        <v>114</v>
      </c>
      <c r="C42" s="122">
        <v>11</v>
      </c>
      <c r="D42" s="123"/>
      <c r="E42" s="109">
        <v>1349</v>
      </c>
      <c r="F42" s="111"/>
      <c r="G42" s="110"/>
      <c r="H42" s="109">
        <v>11</v>
      </c>
      <c r="I42" s="111"/>
      <c r="J42" s="110"/>
      <c r="K42" s="109">
        <v>1349</v>
      </c>
      <c r="L42" s="111"/>
      <c r="M42" s="111"/>
      <c r="N42" s="110"/>
      <c r="O42" s="126" t="s">
        <v>107</v>
      </c>
      <c r="P42" s="127"/>
      <c r="Q42" s="127"/>
      <c r="R42" s="127"/>
      <c r="S42" s="127"/>
      <c r="T42" s="127"/>
      <c r="U42" s="127"/>
      <c r="V42" s="128"/>
      <c r="W42" s="22">
        <f>K42+H42</f>
        <v>1360</v>
      </c>
      <c r="X42" s="2"/>
      <c r="Y42" s="7"/>
      <c r="Z42" s="7"/>
      <c r="AA42" s="9"/>
    </row>
    <row r="43" spans="1:27" ht="65.099999999999994" customHeight="1">
      <c r="A43" s="85">
        <v>6</v>
      </c>
      <c r="B43" s="74" t="s">
        <v>115</v>
      </c>
      <c r="C43" s="122">
        <v>58</v>
      </c>
      <c r="D43" s="123"/>
      <c r="E43" s="109">
        <v>8033</v>
      </c>
      <c r="F43" s="111"/>
      <c r="G43" s="110"/>
      <c r="H43" s="109">
        <v>58000</v>
      </c>
      <c r="I43" s="111"/>
      <c r="J43" s="110"/>
      <c r="K43" s="109">
        <v>8033</v>
      </c>
      <c r="L43" s="111"/>
      <c r="M43" s="111"/>
      <c r="N43" s="110"/>
      <c r="O43" s="126" t="s">
        <v>86</v>
      </c>
      <c r="P43" s="127"/>
      <c r="Q43" s="127"/>
      <c r="R43" s="127"/>
      <c r="S43" s="127"/>
      <c r="T43" s="127"/>
      <c r="U43" s="127"/>
      <c r="V43" s="128"/>
      <c r="W43" s="23">
        <f>K43+H43</f>
        <v>66033</v>
      </c>
      <c r="X43" s="2"/>
      <c r="Y43" s="7"/>
      <c r="Z43" s="7"/>
      <c r="AA43" s="9"/>
    </row>
    <row r="44" spans="1:27" ht="65.099999999999994" customHeight="1">
      <c r="A44" s="85">
        <v>7</v>
      </c>
      <c r="B44" s="74" t="s">
        <v>79</v>
      </c>
      <c r="C44" s="117"/>
      <c r="D44" s="118"/>
      <c r="E44" s="109">
        <v>9260</v>
      </c>
      <c r="F44" s="111"/>
      <c r="G44" s="110"/>
      <c r="H44" s="109">
        <v>0</v>
      </c>
      <c r="I44" s="111"/>
      <c r="J44" s="110"/>
      <c r="K44" s="109">
        <v>7980</v>
      </c>
      <c r="L44" s="111"/>
      <c r="M44" s="111"/>
      <c r="N44" s="110"/>
      <c r="O44" s="119" t="s">
        <v>87</v>
      </c>
      <c r="P44" s="120"/>
      <c r="Q44" s="120"/>
      <c r="R44" s="120"/>
      <c r="S44" s="120"/>
      <c r="T44" s="120"/>
      <c r="U44" s="120"/>
      <c r="V44" s="121"/>
      <c r="W44" s="22">
        <f t="shared" si="2"/>
        <v>7980</v>
      </c>
      <c r="X44" s="2"/>
      <c r="Y44" s="7"/>
      <c r="Z44" s="7"/>
      <c r="AA44" s="9"/>
    </row>
    <row r="45" spans="1:27" ht="65.099999999999994" customHeight="1">
      <c r="A45" s="85">
        <v>8</v>
      </c>
      <c r="B45" s="74" t="s">
        <v>98</v>
      </c>
      <c r="C45" s="122"/>
      <c r="D45" s="123"/>
      <c r="E45" s="109">
        <v>2938</v>
      </c>
      <c r="F45" s="111"/>
      <c r="G45" s="110"/>
      <c r="H45" s="109">
        <v>0</v>
      </c>
      <c r="I45" s="111"/>
      <c r="J45" s="110"/>
      <c r="K45" s="109">
        <v>400</v>
      </c>
      <c r="L45" s="111"/>
      <c r="M45" s="111"/>
      <c r="N45" s="110"/>
      <c r="O45" s="124" t="s">
        <v>96</v>
      </c>
      <c r="P45" s="124"/>
      <c r="Q45" s="124"/>
      <c r="R45" s="124"/>
      <c r="S45" s="124"/>
      <c r="T45" s="124"/>
      <c r="U45" s="124"/>
      <c r="V45" s="125"/>
      <c r="W45" s="22">
        <f t="shared" si="2"/>
        <v>400</v>
      </c>
      <c r="X45" s="2"/>
      <c r="Y45" s="7"/>
      <c r="Z45" s="7"/>
      <c r="AA45" s="9"/>
    </row>
    <row r="46" spans="1:27" ht="65.099999999999994" customHeight="1">
      <c r="A46" s="85">
        <v>9</v>
      </c>
      <c r="B46" s="74" t="s">
        <v>99</v>
      </c>
      <c r="C46" s="109"/>
      <c r="D46" s="110"/>
      <c r="E46" s="109">
        <v>1523</v>
      </c>
      <c r="F46" s="111"/>
      <c r="G46" s="110"/>
      <c r="H46" s="109">
        <v>0</v>
      </c>
      <c r="I46" s="111"/>
      <c r="J46" s="110"/>
      <c r="K46" s="109">
        <v>200</v>
      </c>
      <c r="L46" s="111"/>
      <c r="M46" s="111"/>
      <c r="N46" s="110"/>
      <c r="O46" s="399"/>
      <c r="P46" s="399"/>
      <c r="Q46" s="399"/>
      <c r="R46" s="399"/>
      <c r="S46" s="399"/>
      <c r="T46" s="399"/>
      <c r="U46" s="399"/>
      <c r="V46" s="400"/>
      <c r="W46" s="22">
        <f t="shared" si="2"/>
        <v>200</v>
      </c>
      <c r="X46" s="2"/>
      <c r="Y46" s="7"/>
      <c r="Z46" s="7"/>
      <c r="AA46" s="9"/>
    </row>
    <row r="47" spans="1:27" ht="69" customHeight="1">
      <c r="A47" s="488" t="s">
        <v>90</v>
      </c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9"/>
      <c r="Q47" s="489"/>
      <c r="R47" s="489"/>
      <c r="S47" s="489"/>
      <c r="T47" s="489"/>
      <c r="U47" s="489"/>
      <c r="V47" s="490"/>
      <c r="W47" s="21"/>
      <c r="X47" s="2"/>
      <c r="Y47" s="7">
        <f>14050+100</f>
        <v>14150</v>
      </c>
      <c r="Z47" s="7"/>
      <c r="AA47" s="9"/>
    </row>
    <row r="48" spans="1:27" s="44" customFormat="1" ht="54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  <c r="W48" s="41"/>
      <c r="X48" s="42"/>
      <c r="Y48" s="42"/>
      <c r="Z48" s="42"/>
      <c r="AA48" s="43"/>
    </row>
    <row r="49" spans="1:22" ht="97.5" customHeight="1">
      <c r="A49" s="96" t="s">
        <v>88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8"/>
      <c r="O49" s="99" t="s">
        <v>18</v>
      </c>
      <c r="P49" s="99"/>
      <c r="Q49" s="99"/>
      <c r="R49" s="99"/>
      <c r="S49" s="99"/>
      <c r="T49" s="99"/>
      <c r="U49" s="99"/>
      <c r="V49" s="100"/>
    </row>
    <row r="50" spans="1:22" ht="63.75" customHeight="1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452" t="s">
        <v>67</v>
      </c>
      <c r="P50" s="452"/>
      <c r="Q50" s="452"/>
      <c r="R50" s="452"/>
      <c r="S50" s="452"/>
      <c r="T50" s="452"/>
      <c r="U50" s="452"/>
      <c r="V50" s="453"/>
    </row>
    <row r="51" spans="1:22" ht="45" customHeight="1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452"/>
      <c r="P51" s="452"/>
      <c r="Q51" s="452"/>
      <c r="R51" s="452"/>
      <c r="S51" s="452"/>
      <c r="T51" s="452"/>
      <c r="U51" s="452"/>
      <c r="V51" s="453"/>
    </row>
    <row r="52" spans="1:22" ht="45" customHeight="1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452"/>
      <c r="P52" s="452"/>
      <c r="Q52" s="452"/>
      <c r="R52" s="452"/>
      <c r="S52" s="452"/>
      <c r="T52" s="452"/>
      <c r="U52" s="452"/>
      <c r="V52" s="453"/>
    </row>
    <row r="53" spans="1:22" ht="88.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/>
      <c r="P53" s="452"/>
      <c r="Q53" s="452"/>
      <c r="R53" s="452"/>
      <c r="S53" s="452"/>
      <c r="T53" s="452"/>
      <c r="U53" s="452"/>
      <c r="V53" s="453"/>
    </row>
    <row r="54" spans="1:22" ht="123.75" customHeight="1" thickBot="1">
      <c r="A54" s="103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454"/>
      <c r="P54" s="454"/>
      <c r="Q54" s="454"/>
      <c r="R54" s="454"/>
      <c r="S54" s="454"/>
      <c r="T54" s="454"/>
      <c r="U54" s="454"/>
      <c r="V54" s="455"/>
    </row>
    <row r="57" spans="1:22">
      <c r="S57" s="28"/>
      <c r="T57" s="28"/>
      <c r="U57" s="28"/>
    </row>
    <row r="58" spans="1:22">
      <c r="G58" s="88"/>
      <c r="H58" s="89"/>
      <c r="I58" s="89"/>
      <c r="J58" s="89"/>
      <c r="S58" s="28"/>
      <c r="T58" s="28"/>
      <c r="U58" s="29"/>
    </row>
    <row r="59" spans="1:22">
      <c r="G59" s="88"/>
      <c r="H59" s="89"/>
      <c r="I59" s="89"/>
      <c r="J59" s="89"/>
      <c r="S59" s="28"/>
      <c r="T59" s="28"/>
      <c r="U59" s="30"/>
    </row>
    <row r="60" spans="1:22">
      <c r="G60" s="88"/>
      <c r="H60" s="89"/>
      <c r="I60" s="89"/>
      <c r="J60" s="89"/>
      <c r="S60" s="28"/>
      <c r="T60" s="28"/>
      <c r="U60" s="28"/>
    </row>
    <row r="61" spans="1:22">
      <c r="G61" s="88"/>
      <c r="H61" s="89"/>
      <c r="I61" s="89"/>
      <c r="J61" s="89"/>
    </row>
    <row r="62" spans="1:22">
      <c r="G62" s="88"/>
      <c r="H62" s="89"/>
      <c r="I62" s="89"/>
      <c r="J62" s="89"/>
    </row>
    <row r="63" spans="1:22">
      <c r="G63" s="88"/>
      <c r="H63" s="89"/>
      <c r="I63" s="89"/>
      <c r="J63" s="89"/>
    </row>
    <row r="64" spans="1:22">
      <c r="G64" s="88"/>
      <c r="H64" s="89"/>
      <c r="I64" s="89"/>
      <c r="J64" s="89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 s="3" customFormat="1">
      <c r="A67"/>
      <c r="B67" s="15"/>
      <c r="G67" s="88"/>
      <c r="H67" s="89"/>
      <c r="I67" s="89"/>
      <c r="J67" s="89"/>
      <c r="W67" s="20"/>
      <c r="X67"/>
      <c r="Y67"/>
      <c r="Z67"/>
      <c r="AA67"/>
      <c r="AB67"/>
      <c r="AC67"/>
      <c r="AD67"/>
      <c r="AE67"/>
    </row>
    <row r="68" spans="1:31" s="3" customFormat="1">
      <c r="A68"/>
      <c r="B68" s="15"/>
      <c r="G68" s="88"/>
      <c r="H68" s="89"/>
      <c r="I68" s="89"/>
      <c r="J68" s="89"/>
      <c r="W68" s="20"/>
      <c r="X68"/>
      <c r="Y68"/>
      <c r="Z68"/>
      <c r="AA68"/>
      <c r="AB68"/>
      <c r="AC68"/>
      <c r="AD68"/>
      <c r="AE68"/>
    </row>
    <row r="69" spans="1:31" s="3" customFormat="1">
      <c r="A69"/>
      <c r="B69" s="15"/>
      <c r="G69" s="88"/>
      <c r="H69" s="89"/>
      <c r="I69" s="89"/>
      <c r="J69" s="89"/>
      <c r="W69" s="20"/>
      <c r="X69"/>
      <c r="Y69"/>
      <c r="Z69"/>
      <c r="AA69"/>
      <c r="AB69"/>
      <c r="AC69"/>
      <c r="AD69"/>
      <c r="AE69"/>
    </row>
    <row r="70" spans="1:31" s="3" customFormat="1">
      <c r="A70"/>
      <c r="B70" s="15"/>
      <c r="G70" s="88"/>
      <c r="H70" s="89"/>
      <c r="I70" s="89"/>
      <c r="J70" s="89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J75" s="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J76" s="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J77" s="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N104" s="3">
        <v>24</v>
      </c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N105" s="3">
        <v>22</v>
      </c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N106" s="3">
        <v>19</v>
      </c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22</v>
      </c>
      <c r="W107" s="20"/>
      <c r="X107"/>
      <c r="Y107"/>
      <c r="Z107"/>
      <c r="AA107"/>
      <c r="AB107"/>
      <c r="AC107"/>
      <c r="AD107"/>
      <c r="AE107"/>
    </row>
  </sheetData>
  <autoFilter ref="A6:AE47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48:V48"/>
    <mergeCell ref="A49:N49"/>
    <mergeCell ref="O49:V49"/>
    <mergeCell ref="A50:N54"/>
    <mergeCell ref="O50:V54"/>
    <mergeCell ref="C46:D46"/>
    <mergeCell ref="E46:G46"/>
    <mergeCell ref="H46:J46"/>
    <mergeCell ref="K46:N46"/>
    <mergeCell ref="O46:V46"/>
    <mergeCell ref="A47:V47"/>
    <mergeCell ref="C44:D44"/>
    <mergeCell ref="E44:G44"/>
    <mergeCell ref="H44:J44"/>
    <mergeCell ref="K44:N44"/>
    <mergeCell ref="O44:V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V42"/>
    <mergeCell ref="C43:D43"/>
    <mergeCell ref="E43:G43"/>
    <mergeCell ref="H43:J43"/>
    <mergeCell ref="K43:N43"/>
    <mergeCell ref="O43:V43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V41"/>
    <mergeCell ref="C38:D38"/>
    <mergeCell ref="E38:G38"/>
    <mergeCell ref="H38:J38"/>
    <mergeCell ref="K38:N38"/>
    <mergeCell ref="O38:R38"/>
    <mergeCell ref="C39:D39"/>
    <mergeCell ref="E39:G39"/>
    <mergeCell ref="H39:J39"/>
    <mergeCell ref="K39:N39"/>
    <mergeCell ref="O39:R39"/>
    <mergeCell ref="C37:D37"/>
    <mergeCell ref="E37:G37"/>
    <mergeCell ref="H37:J37"/>
    <mergeCell ref="K37:N37"/>
    <mergeCell ref="O37:R37"/>
    <mergeCell ref="V32:V33"/>
    <mergeCell ref="L34:L35"/>
    <mergeCell ref="M34:R35"/>
    <mergeCell ref="T34:U34"/>
    <mergeCell ref="F35:G35"/>
    <mergeCell ref="L30:V30"/>
    <mergeCell ref="M31:R31"/>
    <mergeCell ref="W31:W34"/>
    <mergeCell ref="L32:L33"/>
    <mergeCell ref="M32:R33"/>
    <mergeCell ref="S32:S33"/>
    <mergeCell ref="T32:U33"/>
    <mergeCell ref="A36:N36"/>
    <mergeCell ref="O36:V36"/>
    <mergeCell ref="A35:B35"/>
    <mergeCell ref="W18:W19"/>
    <mergeCell ref="L20:L24"/>
    <mergeCell ref="M20:R23"/>
    <mergeCell ref="S20:S23"/>
    <mergeCell ref="T20:U23"/>
    <mergeCell ref="V20:V23"/>
    <mergeCell ref="W20:W24"/>
    <mergeCell ref="M24:R29"/>
    <mergeCell ref="S24:S29"/>
    <mergeCell ref="T24:U29"/>
    <mergeCell ref="V24:V29"/>
    <mergeCell ref="L25:L29"/>
    <mergeCell ref="W25:W29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</mergeCells>
  <printOptions horizontalCentered="1"/>
  <pageMargins left="0.25" right="0.25" top="0" bottom="2.25" header="0" footer="0"/>
  <pageSetup paperSize="5" scale="24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6A41-5BF9-44EC-B415-96146DCDBE99}">
  <sheetPr>
    <pageSetUpPr fitToPage="1"/>
  </sheetPr>
  <dimension ref="A1:AH107"/>
  <sheetViews>
    <sheetView rightToLeft="1" view="pageBreakPreview" topLeftCell="A15" zoomScale="40" zoomScaleNormal="110" zoomScaleSheetLayoutView="40" workbookViewId="0">
      <selection activeCell="A48" sqref="A48:V48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5.57031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502" t="s">
        <v>168</v>
      </c>
      <c r="S1" s="297" t="s">
        <v>298</v>
      </c>
      <c r="T1" s="297"/>
      <c r="U1" s="462" t="s">
        <v>299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503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503"/>
      <c r="S3" s="299"/>
      <c r="T3" s="299"/>
      <c r="U3" s="464"/>
      <c r="V3" s="465"/>
      <c r="W3" s="16"/>
      <c r="Y3">
        <f>20780-20000</f>
        <v>780</v>
      </c>
    </row>
    <row r="4" spans="1:34" ht="54.7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71.2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300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1</v>
      </c>
      <c r="D10" s="40">
        <v>1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297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242735</v>
      </c>
      <c r="W11" s="236">
        <f>V11+T11</f>
        <v>242735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1</v>
      </c>
      <c r="D14" s="40">
        <v>1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1</v>
      </c>
      <c r="E15" s="40">
        <v>2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0">
        <v>1530</v>
      </c>
      <c r="U16" s="361"/>
      <c r="V16" s="445">
        <v>60504</v>
      </c>
      <c r="W16" s="47">
        <f>V16+T16</f>
        <v>62034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3</v>
      </c>
      <c r="I18" s="40">
        <v>3</v>
      </c>
      <c r="J18" s="40"/>
      <c r="K18" s="40"/>
      <c r="L18" s="186">
        <v>5</v>
      </c>
      <c r="M18" s="475" t="s">
        <v>308</v>
      </c>
      <c r="N18" s="476"/>
      <c r="O18" s="476"/>
      <c r="P18" s="476"/>
      <c r="Q18" s="476"/>
      <c r="R18" s="477"/>
      <c r="S18" s="160" t="s">
        <v>85</v>
      </c>
      <c r="T18" s="360">
        <v>1530</v>
      </c>
      <c r="U18" s="361"/>
      <c r="V18" s="445">
        <v>115626</v>
      </c>
      <c r="W18" s="178">
        <f>V18+T18</f>
        <v>117156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4</v>
      </c>
      <c r="J19" s="40">
        <v>1</v>
      </c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80.099999999999994" customHeight="1">
      <c r="A20" s="84">
        <v>13</v>
      </c>
      <c r="B20" s="14" t="s">
        <v>94</v>
      </c>
      <c r="C20" s="40">
        <v>1</v>
      </c>
      <c r="D20" s="40">
        <v>1</v>
      </c>
      <c r="E20" s="40"/>
      <c r="F20" s="40">
        <v>13</v>
      </c>
      <c r="G20" s="27" t="s">
        <v>19</v>
      </c>
      <c r="H20" s="40">
        <v>3</v>
      </c>
      <c r="I20" s="40">
        <v>3</v>
      </c>
      <c r="J20" s="40"/>
      <c r="K20" s="40"/>
      <c r="L20" s="152">
        <v>6</v>
      </c>
      <c r="M20" s="491" t="s">
        <v>296</v>
      </c>
      <c r="N20" s="492"/>
      <c r="O20" s="492"/>
      <c r="P20" s="492"/>
      <c r="Q20" s="492"/>
      <c r="R20" s="493"/>
      <c r="S20" s="442" t="s">
        <v>85</v>
      </c>
      <c r="T20" s="367">
        <v>0</v>
      </c>
      <c r="U20" s="368"/>
      <c r="V20" s="445">
        <v>43551</v>
      </c>
      <c r="W20" s="178">
        <f>V20+T20</f>
        <v>43551</v>
      </c>
      <c r="Z20" s="1"/>
    </row>
    <row r="21" spans="1:27" ht="80.099999999999994" customHeight="1">
      <c r="A21" s="84">
        <v>14</v>
      </c>
      <c r="B21" s="31" t="s">
        <v>225</v>
      </c>
      <c r="C21" s="40">
        <v>1</v>
      </c>
      <c r="D21" s="40">
        <v>1</v>
      </c>
      <c r="E21" s="40"/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494"/>
      <c r="N21" s="495"/>
      <c r="O21" s="495"/>
      <c r="P21" s="495"/>
      <c r="Q21" s="495"/>
      <c r="R21" s="496"/>
      <c r="S21" s="443"/>
      <c r="T21" s="369"/>
      <c r="U21" s="370"/>
      <c r="V21" s="446"/>
      <c r="W21" s="178"/>
      <c r="Z21" s="1"/>
    </row>
    <row r="22" spans="1:27" ht="80.099999999999994" customHeight="1">
      <c r="A22" s="84">
        <v>15</v>
      </c>
      <c r="B22" s="27" t="s">
        <v>8</v>
      </c>
      <c r="C22" s="59">
        <v>11</v>
      </c>
      <c r="D22" s="40">
        <v>9</v>
      </c>
      <c r="E22" s="40">
        <v>2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494"/>
      <c r="N22" s="495"/>
      <c r="O22" s="495"/>
      <c r="P22" s="495"/>
      <c r="Q22" s="495"/>
      <c r="R22" s="496"/>
      <c r="S22" s="443"/>
      <c r="T22" s="369"/>
      <c r="U22" s="370"/>
      <c r="V22" s="446"/>
      <c r="W22" s="178"/>
      <c r="Z22" s="1"/>
    </row>
    <row r="23" spans="1:27" ht="80.099999999999994" customHeight="1">
      <c r="A23" s="84">
        <v>16</v>
      </c>
      <c r="B23" s="27" t="s">
        <v>63</v>
      </c>
      <c r="C23" s="59">
        <v>10</v>
      </c>
      <c r="D23" s="40">
        <v>8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87"/>
      <c r="M23" s="497"/>
      <c r="N23" s="498"/>
      <c r="O23" s="498"/>
      <c r="P23" s="498"/>
      <c r="Q23" s="498"/>
      <c r="R23" s="499"/>
      <c r="S23" s="444"/>
      <c r="T23" s="371"/>
      <c r="U23" s="372"/>
      <c r="V23" s="447"/>
      <c r="W23" s="178"/>
      <c r="Z23" s="1"/>
    </row>
    <row r="24" spans="1:27" ht="70.5" customHeight="1">
      <c r="A24" s="84">
        <v>17</v>
      </c>
      <c r="B24" s="27" t="s">
        <v>17</v>
      </c>
      <c r="C24" s="40">
        <v>5</v>
      </c>
      <c r="D24" s="40">
        <v>4</v>
      </c>
      <c r="E24" s="40">
        <v>1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01" t="s">
        <v>252</v>
      </c>
      <c r="N24" s="402"/>
      <c r="O24" s="402"/>
      <c r="P24" s="402"/>
      <c r="Q24" s="402"/>
      <c r="R24" s="403"/>
      <c r="S24" s="442" t="s">
        <v>85</v>
      </c>
      <c r="T24" s="360">
        <v>396</v>
      </c>
      <c r="U24" s="361"/>
      <c r="V24" s="445">
        <v>38347</v>
      </c>
      <c r="W24" s="178"/>
      <c r="Z24" s="1"/>
    </row>
    <row r="25" spans="1:27" ht="69.95" customHeight="1">
      <c r="A25" s="84">
        <v>18</v>
      </c>
      <c r="B25" s="27" t="s">
        <v>43</v>
      </c>
      <c r="C25" s="40">
        <v>1</v>
      </c>
      <c r="D25" s="40"/>
      <c r="E25" s="40">
        <v>1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04"/>
      <c r="N25" s="405"/>
      <c r="O25" s="405"/>
      <c r="P25" s="405"/>
      <c r="Q25" s="405"/>
      <c r="R25" s="406"/>
      <c r="S25" s="443"/>
      <c r="T25" s="362"/>
      <c r="U25" s="363"/>
      <c r="V25" s="446"/>
      <c r="W25" s="209">
        <f>V24+T24</f>
        <v>38743</v>
      </c>
      <c r="Z25" s="1"/>
    </row>
    <row r="26" spans="1:27" ht="69.95" customHeight="1">
      <c r="A26" s="84">
        <v>19</v>
      </c>
      <c r="B26" s="27" t="s">
        <v>45</v>
      </c>
      <c r="C26" s="40">
        <v>2</v>
      </c>
      <c r="D26" s="40"/>
      <c r="E26" s="40">
        <v>2</v>
      </c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405"/>
      <c r="O26" s="405"/>
      <c r="P26" s="405"/>
      <c r="Q26" s="405"/>
      <c r="R26" s="406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69.95" customHeight="1">
      <c r="A27" s="84">
        <v>20</v>
      </c>
      <c r="B27" s="27" t="s">
        <v>58</v>
      </c>
      <c r="C27" s="40">
        <v>1</v>
      </c>
      <c r="D27" s="40">
        <v>1</v>
      </c>
      <c r="E27" s="40"/>
      <c r="F27" s="40">
        <v>20</v>
      </c>
      <c r="G27" s="27" t="s">
        <v>53</v>
      </c>
      <c r="H27" s="40">
        <v>18</v>
      </c>
      <c r="I27" s="40">
        <v>18</v>
      </c>
      <c r="J27" s="40"/>
      <c r="K27" s="40"/>
      <c r="L27" s="187"/>
      <c r="M27" s="404"/>
      <c r="N27" s="405"/>
      <c r="O27" s="405"/>
      <c r="P27" s="405"/>
      <c r="Q27" s="405"/>
      <c r="R27" s="406"/>
      <c r="S27" s="443"/>
      <c r="T27" s="362"/>
      <c r="U27" s="363"/>
      <c r="V27" s="446"/>
      <c r="W27" s="209"/>
      <c r="Z27" s="34">
        <v>118349</v>
      </c>
    </row>
    <row r="28" spans="1:27" s="6" customFormat="1" ht="69.95" customHeight="1">
      <c r="A28" s="84">
        <v>21</v>
      </c>
      <c r="B28" s="27" t="s">
        <v>101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04"/>
      <c r="N28" s="405"/>
      <c r="O28" s="405"/>
      <c r="P28" s="405"/>
      <c r="Q28" s="405"/>
      <c r="R28" s="406"/>
      <c r="S28" s="443"/>
      <c r="T28" s="362"/>
      <c r="U28" s="363"/>
      <c r="V28" s="446"/>
      <c r="W28" s="209"/>
      <c r="Z28" s="34"/>
    </row>
    <row r="29" spans="1:27" s="6" customFormat="1" ht="69.95" customHeight="1">
      <c r="A29" s="84">
        <v>22</v>
      </c>
      <c r="B29" s="27" t="s">
        <v>44</v>
      </c>
      <c r="C29" s="40">
        <v>2</v>
      </c>
      <c r="D29" s="40">
        <v>2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07"/>
      <c r="N29" s="408"/>
      <c r="O29" s="408"/>
      <c r="P29" s="408"/>
      <c r="Q29" s="408"/>
      <c r="R29" s="409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60</v>
      </c>
      <c r="C30" s="40">
        <v>2</v>
      </c>
      <c r="D30" s="40">
        <v>1</v>
      </c>
      <c r="E30" s="40">
        <v>1</v>
      </c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62</v>
      </c>
      <c r="C31" s="40">
        <v>3</v>
      </c>
      <c r="D31" s="40">
        <v>3</v>
      </c>
      <c r="E31" s="40"/>
      <c r="F31" s="40">
        <v>24</v>
      </c>
      <c r="G31" s="27" t="s">
        <v>97</v>
      </c>
      <c r="H31" s="40">
        <v>2</v>
      </c>
      <c r="I31" s="40"/>
      <c r="J31" s="40"/>
      <c r="K31" s="40"/>
      <c r="L31" s="40">
        <v>1</v>
      </c>
      <c r="M31" s="171"/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36</v>
      </c>
      <c r="C32" s="40">
        <v>2</v>
      </c>
      <c r="D32" s="40">
        <v>2</v>
      </c>
      <c r="E32" s="40"/>
      <c r="F32" s="40">
        <v>25</v>
      </c>
      <c r="G32" s="86" t="s">
        <v>220</v>
      </c>
      <c r="H32" s="40">
        <v>1</v>
      </c>
      <c r="I32" s="40"/>
      <c r="J32" s="40"/>
      <c r="K32" s="40"/>
      <c r="L32" s="152">
        <v>2</v>
      </c>
      <c r="M32" s="180"/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93</v>
      </c>
      <c r="C33" s="40">
        <v>1</v>
      </c>
      <c r="D33" s="40">
        <v>1</v>
      </c>
      <c r="E33" s="40"/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46</v>
      </c>
      <c r="C34" s="40">
        <v>1</v>
      </c>
      <c r="D34" s="40">
        <v>1</v>
      </c>
      <c r="E34" s="40"/>
      <c r="F34" s="40"/>
      <c r="G34" s="27"/>
      <c r="H34" s="40"/>
      <c r="I34" s="40"/>
      <c r="J34" s="40"/>
      <c r="K34" s="40"/>
      <c r="L34" s="152">
        <v>3</v>
      </c>
      <c r="M34" s="180"/>
      <c r="N34" s="181"/>
      <c r="O34" s="181"/>
      <c r="P34" s="181"/>
      <c r="Q34" s="181"/>
      <c r="R34" s="182"/>
      <c r="S34" s="90"/>
      <c r="T34" s="162"/>
      <c r="U34" s="163"/>
      <c r="V34" s="91"/>
      <c r="W34" s="179"/>
      <c r="Z34" s="1"/>
    </row>
    <row r="35" spans="1:27" ht="63.75" customHeight="1">
      <c r="A35" s="150" t="s">
        <v>9</v>
      </c>
      <c r="B35" s="151"/>
      <c r="C35" s="61">
        <f>SUM(C7:C34)</f>
        <v>60</v>
      </c>
      <c r="D35" s="61">
        <f>SUM(D7:D34)</f>
        <v>47</v>
      </c>
      <c r="E35" s="61">
        <f>SUM(E7:E34)</f>
        <v>13</v>
      </c>
      <c r="F35" s="151" t="s">
        <v>9</v>
      </c>
      <c r="G35" s="151"/>
      <c r="H35" s="64">
        <f>SUM(H7:H34)</f>
        <v>74</v>
      </c>
      <c r="I35" s="64">
        <f>SUM(I7:I34)</f>
        <v>64</v>
      </c>
      <c r="J35" s="64">
        <f>SUM(J7:J34)</f>
        <v>3</v>
      </c>
      <c r="K35" s="64">
        <f>SUM(K7:K34)</f>
        <v>4</v>
      </c>
      <c r="L35" s="153"/>
      <c r="M35" s="183"/>
      <c r="N35" s="184"/>
      <c r="O35" s="184"/>
      <c r="P35" s="184"/>
      <c r="Q35" s="184"/>
      <c r="R35" s="185"/>
      <c r="S35" s="48"/>
      <c r="T35" s="52"/>
      <c r="U35" s="53"/>
      <c r="V35" s="55"/>
      <c r="W35" s="16"/>
    </row>
    <row r="36" spans="1:27" ht="49.5" customHeight="1">
      <c r="A36" s="456" t="s">
        <v>81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132" t="s">
        <v>33</v>
      </c>
      <c r="P36" s="132"/>
      <c r="Q36" s="132"/>
      <c r="R36" s="132"/>
      <c r="S36" s="132"/>
      <c r="T36" s="132"/>
      <c r="U36" s="132"/>
      <c r="V36" s="133"/>
      <c r="W36" s="16"/>
    </row>
    <row r="37" spans="1:27" ht="54" customHeight="1">
      <c r="A37" s="11" t="s">
        <v>2</v>
      </c>
      <c r="B37" s="27" t="s">
        <v>5</v>
      </c>
      <c r="C37" s="143" t="s">
        <v>24</v>
      </c>
      <c r="D37" s="143"/>
      <c r="E37" s="143" t="s">
        <v>68</v>
      </c>
      <c r="F37" s="143"/>
      <c r="G37" s="143"/>
      <c r="H37" s="143" t="s">
        <v>42</v>
      </c>
      <c r="I37" s="143"/>
      <c r="J37" s="143"/>
      <c r="K37" s="143" t="s">
        <v>41</v>
      </c>
      <c r="L37" s="143"/>
      <c r="M37" s="143"/>
      <c r="N37" s="143"/>
      <c r="O37" s="144" t="s">
        <v>31</v>
      </c>
      <c r="P37" s="145"/>
      <c r="Q37" s="145"/>
      <c r="R37" s="146"/>
      <c r="S37" s="62" t="s">
        <v>75</v>
      </c>
      <c r="T37" s="62" t="s">
        <v>77</v>
      </c>
      <c r="U37" s="62" t="s">
        <v>76</v>
      </c>
      <c r="V37" s="63" t="s">
        <v>32</v>
      </c>
      <c r="W37" s="16"/>
    </row>
    <row r="38" spans="1:27" ht="116.25" customHeight="1">
      <c r="A38" s="85">
        <v>1</v>
      </c>
      <c r="B38" s="74" t="s">
        <v>135</v>
      </c>
      <c r="C38" s="134"/>
      <c r="D38" s="135"/>
      <c r="E38" s="109">
        <v>100</v>
      </c>
      <c r="F38" s="111"/>
      <c r="G38" s="110"/>
      <c r="H38" s="134">
        <v>0</v>
      </c>
      <c r="I38" s="136"/>
      <c r="J38" s="135"/>
      <c r="K38" s="134">
        <v>99</v>
      </c>
      <c r="L38" s="136"/>
      <c r="M38" s="136"/>
      <c r="N38" s="135"/>
      <c r="O38" s="140" t="s">
        <v>304</v>
      </c>
      <c r="P38" s="141"/>
      <c r="Q38" s="141"/>
      <c r="R38" s="142"/>
      <c r="S38" s="56" t="s">
        <v>129</v>
      </c>
      <c r="T38" s="56" t="s">
        <v>88</v>
      </c>
      <c r="U38" s="56" t="s">
        <v>305</v>
      </c>
      <c r="V38" s="58" t="s">
        <v>301</v>
      </c>
      <c r="W38" s="80">
        <f>K38+H38</f>
        <v>99</v>
      </c>
      <c r="Y38" s="8"/>
    </row>
    <row r="39" spans="1:27" ht="108" customHeight="1">
      <c r="A39" s="85">
        <v>2</v>
      </c>
      <c r="B39" s="74" t="s">
        <v>136</v>
      </c>
      <c r="C39" s="117"/>
      <c r="D39" s="118"/>
      <c r="E39" s="109">
        <v>2616</v>
      </c>
      <c r="F39" s="111"/>
      <c r="G39" s="110"/>
      <c r="H39" s="134">
        <v>0</v>
      </c>
      <c r="I39" s="136"/>
      <c r="J39" s="135"/>
      <c r="K39" s="134">
        <v>683</v>
      </c>
      <c r="L39" s="136"/>
      <c r="M39" s="136"/>
      <c r="N39" s="135"/>
      <c r="O39" s="140" t="s">
        <v>307</v>
      </c>
      <c r="P39" s="141"/>
      <c r="Q39" s="141"/>
      <c r="R39" s="142"/>
      <c r="S39" s="56" t="s">
        <v>129</v>
      </c>
      <c r="T39" s="56" t="s">
        <v>88</v>
      </c>
      <c r="U39" s="56" t="s">
        <v>306</v>
      </c>
      <c r="V39" s="58" t="s">
        <v>301</v>
      </c>
      <c r="W39" s="80">
        <f t="shared" ref="W39:W46" si="2">K39+H39</f>
        <v>683</v>
      </c>
      <c r="X39" s="2"/>
      <c r="Y39" s="7"/>
      <c r="Z39" s="7"/>
      <c r="AA39" s="9"/>
    </row>
    <row r="40" spans="1:27" ht="100.5" customHeight="1">
      <c r="A40" s="85">
        <v>3</v>
      </c>
      <c r="B40" s="74" t="s">
        <v>80</v>
      </c>
      <c r="C40" s="500"/>
      <c r="D40" s="501"/>
      <c r="E40" s="109">
        <v>178000</v>
      </c>
      <c r="F40" s="111"/>
      <c r="G40" s="110"/>
      <c r="H40" s="109">
        <v>2455</v>
      </c>
      <c r="I40" s="111"/>
      <c r="J40" s="110"/>
      <c r="K40" s="109">
        <v>141961</v>
      </c>
      <c r="L40" s="111"/>
      <c r="M40" s="111"/>
      <c r="N40" s="110"/>
      <c r="O40" s="140" t="s">
        <v>302</v>
      </c>
      <c r="P40" s="141"/>
      <c r="Q40" s="141"/>
      <c r="R40" s="142"/>
      <c r="S40" s="56" t="s">
        <v>88</v>
      </c>
      <c r="T40" s="56" t="s">
        <v>129</v>
      </c>
      <c r="U40" s="57" t="s">
        <v>303</v>
      </c>
      <c r="V40" s="58" t="s">
        <v>301</v>
      </c>
      <c r="W40" s="78">
        <f>K40+H40</f>
        <v>144416</v>
      </c>
      <c r="X40" s="2"/>
      <c r="Y40" s="7"/>
      <c r="Z40" s="7"/>
      <c r="AA40" s="9"/>
    </row>
    <row r="41" spans="1:27" ht="65.099999999999994" customHeight="1">
      <c r="A41" s="85">
        <v>4</v>
      </c>
      <c r="B41" s="74" t="s">
        <v>56</v>
      </c>
      <c r="C41" s="117"/>
      <c r="D41" s="118"/>
      <c r="E41" s="109">
        <v>20920</v>
      </c>
      <c r="F41" s="111"/>
      <c r="G41" s="110"/>
      <c r="H41" s="109">
        <v>0</v>
      </c>
      <c r="I41" s="111"/>
      <c r="J41" s="110"/>
      <c r="K41" s="109">
        <v>15900</v>
      </c>
      <c r="L41" s="111"/>
      <c r="M41" s="111"/>
      <c r="N41" s="110"/>
      <c r="O41" s="132" t="s">
        <v>25</v>
      </c>
      <c r="P41" s="132"/>
      <c r="Q41" s="132"/>
      <c r="R41" s="132"/>
      <c r="S41" s="132"/>
      <c r="T41" s="132"/>
      <c r="U41" s="132"/>
      <c r="V41" s="133"/>
      <c r="W41" s="22">
        <f t="shared" si="2"/>
        <v>15900</v>
      </c>
      <c r="X41" s="2"/>
      <c r="Y41" s="7"/>
      <c r="Z41" s="7"/>
      <c r="AA41" s="9"/>
    </row>
    <row r="42" spans="1:27" ht="65.099999999999994" customHeight="1">
      <c r="A42" s="85">
        <v>5</v>
      </c>
      <c r="B42" s="74" t="s">
        <v>114</v>
      </c>
      <c r="C42" s="122"/>
      <c r="D42" s="123"/>
      <c r="E42" s="109">
        <v>1349</v>
      </c>
      <c r="F42" s="111"/>
      <c r="G42" s="110"/>
      <c r="H42" s="109">
        <v>0</v>
      </c>
      <c r="I42" s="111"/>
      <c r="J42" s="110"/>
      <c r="K42" s="109">
        <v>1349</v>
      </c>
      <c r="L42" s="111"/>
      <c r="M42" s="111"/>
      <c r="N42" s="110"/>
      <c r="O42" s="126" t="s">
        <v>107</v>
      </c>
      <c r="P42" s="127"/>
      <c r="Q42" s="127"/>
      <c r="R42" s="127"/>
      <c r="S42" s="127"/>
      <c r="T42" s="127"/>
      <c r="U42" s="127"/>
      <c r="V42" s="128"/>
      <c r="W42" s="22">
        <f>K42+H42</f>
        <v>1349</v>
      </c>
      <c r="X42" s="2"/>
      <c r="Y42" s="7"/>
      <c r="Z42" s="7"/>
      <c r="AA42" s="9"/>
    </row>
    <row r="43" spans="1:27" ht="65.099999999999994" customHeight="1">
      <c r="A43" s="85">
        <v>6</v>
      </c>
      <c r="B43" s="74" t="s">
        <v>115</v>
      </c>
      <c r="C43" s="122">
        <v>102</v>
      </c>
      <c r="D43" s="123"/>
      <c r="E43" s="109">
        <v>8135</v>
      </c>
      <c r="F43" s="111"/>
      <c r="G43" s="110"/>
      <c r="H43" s="109">
        <v>102</v>
      </c>
      <c r="I43" s="111"/>
      <c r="J43" s="110"/>
      <c r="K43" s="109">
        <v>8135</v>
      </c>
      <c r="L43" s="111"/>
      <c r="M43" s="111"/>
      <c r="N43" s="110"/>
      <c r="O43" s="126" t="s">
        <v>86</v>
      </c>
      <c r="P43" s="127"/>
      <c r="Q43" s="127"/>
      <c r="R43" s="127"/>
      <c r="S43" s="127"/>
      <c r="T43" s="127"/>
      <c r="U43" s="127"/>
      <c r="V43" s="128"/>
      <c r="W43" s="23">
        <f>K43+H43</f>
        <v>8237</v>
      </c>
      <c r="X43" s="2"/>
      <c r="Y43" s="7"/>
      <c r="Z43" s="7"/>
      <c r="AA43" s="9"/>
    </row>
    <row r="44" spans="1:27" ht="65.099999999999994" customHeight="1">
      <c r="A44" s="85">
        <v>7</v>
      </c>
      <c r="B44" s="74" t="s">
        <v>79</v>
      </c>
      <c r="C44" s="117"/>
      <c r="D44" s="118"/>
      <c r="E44" s="109">
        <v>9260</v>
      </c>
      <c r="F44" s="111"/>
      <c r="G44" s="110"/>
      <c r="H44" s="109">
        <v>0</v>
      </c>
      <c r="I44" s="111"/>
      <c r="J44" s="110"/>
      <c r="K44" s="109">
        <v>7980</v>
      </c>
      <c r="L44" s="111"/>
      <c r="M44" s="111"/>
      <c r="N44" s="110"/>
      <c r="O44" s="119" t="s">
        <v>87</v>
      </c>
      <c r="P44" s="120"/>
      <c r="Q44" s="120"/>
      <c r="R44" s="120"/>
      <c r="S44" s="120"/>
      <c r="T44" s="120"/>
      <c r="U44" s="120"/>
      <c r="V44" s="121"/>
      <c r="W44" s="22">
        <f t="shared" si="2"/>
        <v>7980</v>
      </c>
      <c r="X44" s="2"/>
      <c r="Y44" s="7"/>
      <c r="Z44" s="7"/>
      <c r="AA44" s="9"/>
    </row>
    <row r="45" spans="1:27" ht="65.099999999999994" customHeight="1">
      <c r="A45" s="85">
        <v>8</v>
      </c>
      <c r="B45" s="74" t="s">
        <v>98</v>
      </c>
      <c r="C45" s="122"/>
      <c r="D45" s="123"/>
      <c r="E45" s="109">
        <v>2938</v>
      </c>
      <c r="F45" s="111"/>
      <c r="G45" s="110"/>
      <c r="H45" s="109">
        <v>0</v>
      </c>
      <c r="I45" s="111"/>
      <c r="J45" s="110"/>
      <c r="K45" s="109">
        <v>400</v>
      </c>
      <c r="L45" s="111"/>
      <c r="M45" s="111"/>
      <c r="N45" s="110"/>
      <c r="O45" s="124" t="s">
        <v>96</v>
      </c>
      <c r="P45" s="124"/>
      <c r="Q45" s="124"/>
      <c r="R45" s="124"/>
      <c r="S45" s="124"/>
      <c r="T45" s="124"/>
      <c r="U45" s="124"/>
      <c r="V45" s="125"/>
      <c r="W45" s="22">
        <f t="shared" si="2"/>
        <v>400</v>
      </c>
      <c r="X45" s="2"/>
      <c r="Y45" s="7"/>
      <c r="Z45" s="7"/>
      <c r="AA45" s="9"/>
    </row>
    <row r="46" spans="1:27" ht="65.099999999999994" customHeight="1">
      <c r="A46" s="85">
        <v>9</v>
      </c>
      <c r="B46" s="74" t="s">
        <v>99</v>
      </c>
      <c r="C46" s="109"/>
      <c r="D46" s="110"/>
      <c r="E46" s="109">
        <v>1523</v>
      </c>
      <c r="F46" s="111"/>
      <c r="G46" s="110"/>
      <c r="H46" s="109">
        <v>0</v>
      </c>
      <c r="I46" s="111"/>
      <c r="J46" s="110"/>
      <c r="K46" s="109">
        <v>200</v>
      </c>
      <c r="L46" s="111"/>
      <c r="M46" s="111"/>
      <c r="N46" s="110"/>
      <c r="O46" s="399"/>
      <c r="P46" s="399"/>
      <c r="Q46" s="399"/>
      <c r="R46" s="399"/>
      <c r="S46" s="399"/>
      <c r="T46" s="399"/>
      <c r="U46" s="399"/>
      <c r="V46" s="400"/>
      <c r="W46" s="22">
        <f t="shared" si="2"/>
        <v>200</v>
      </c>
      <c r="X46" s="2"/>
      <c r="Y46" s="7"/>
      <c r="Z46" s="7"/>
      <c r="AA46" s="9"/>
    </row>
    <row r="47" spans="1:27" ht="69" customHeight="1">
      <c r="A47" s="488" t="s">
        <v>90</v>
      </c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9"/>
      <c r="Q47" s="489"/>
      <c r="R47" s="489"/>
      <c r="S47" s="489"/>
      <c r="T47" s="489"/>
      <c r="U47" s="489"/>
      <c r="V47" s="490"/>
      <c r="W47" s="21"/>
      <c r="X47" s="2"/>
      <c r="Y47" s="7">
        <f>14050+100</f>
        <v>14150</v>
      </c>
      <c r="Z47" s="7"/>
      <c r="AA47" s="9"/>
    </row>
    <row r="48" spans="1:27" s="44" customFormat="1" ht="54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  <c r="W48" s="41"/>
      <c r="X48" s="42"/>
      <c r="Y48" s="42"/>
      <c r="Z48" s="42"/>
      <c r="AA48" s="43"/>
    </row>
    <row r="49" spans="1:22" ht="97.5" customHeight="1">
      <c r="A49" s="96" t="s">
        <v>88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8"/>
      <c r="O49" s="99" t="s">
        <v>18</v>
      </c>
      <c r="P49" s="99"/>
      <c r="Q49" s="99"/>
      <c r="R49" s="99"/>
      <c r="S49" s="99"/>
      <c r="T49" s="99"/>
      <c r="U49" s="99"/>
      <c r="V49" s="100"/>
    </row>
    <row r="50" spans="1:22" ht="63.75" customHeight="1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452" t="s">
        <v>67</v>
      </c>
      <c r="P50" s="452"/>
      <c r="Q50" s="452"/>
      <c r="R50" s="452"/>
      <c r="S50" s="452"/>
      <c r="T50" s="452"/>
      <c r="U50" s="452"/>
      <c r="V50" s="453"/>
    </row>
    <row r="51" spans="1:22" ht="45" customHeight="1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452"/>
      <c r="P51" s="452"/>
      <c r="Q51" s="452"/>
      <c r="R51" s="452"/>
      <c r="S51" s="452"/>
      <c r="T51" s="452"/>
      <c r="U51" s="452"/>
      <c r="V51" s="453"/>
    </row>
    <row r="52" spans="1:22" ht="45" customHeight="1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452"/>
      <c r="P52" s="452"/>
      <c r="Q52" s="452"/>
      <c r="R52" s="452"/>
      <c r="S52" s="452"/>
      <c r="T52" s="452"/>
      <c r="U52" s="452"/>
      <c r="V52" s="453"/>
    </row>
    <row r="53" spans="1:22" ht="88.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/>
      <c r="P53" s="452"/>
      <c r="Q53" s="452"/>
      <c r="R53" s="452"/>
      <c r="S53" s="452"/>
      <c r="T53" s="452"/>
      <c r="U53" s="452"/>
      <c r="V53" s="453"/>
    </row>
    <row r="54" spans="1:22" ht="123.75" customHeight="1" thickBot="1">
      <c r="A54" s="103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454"/>
      <c r="P54" s="454"/>
      <c r="Q54" s="454"/>
      <c r="R54" s="454"/>
      <c r="S54" s="454"/>
      <c r="T54" s="454"/>
      <c r="U54" s="454"/>
      <c r="V54" s="455"/>
    </row>
    <row r="57" spans="1:22">
      <c r="S57" s="28"/>
      <c r="T57" s="28"/>
      <c r="U57" s="28"/>
    </row>
    <row r="58" spans="1:22">
      <c r="G58" s="88"/>
      <c r="H58" s="89"/>
      <c r="I58" s="89"/>
      <c r="J58" s="89"/>
      <c r="S58" s="28"/>
      <c r="T58" s="28"/>
      <c r="U58" s="29"/>
    </row>
    <row r="59" spans="1:22">
      <c r="G59" s="88"/>
      <c r="H59" s="89"/>
      <c r="I59" s="89"/>
      <c r="J59" s="89"/>
      <c r="S59" s="28"/>
      <c r="T59" s="28"/>
      <c r="U59" s="30"/>
    </row>
    <row r="60" spans="1:22">
      <c r="G60" s="88"/>
      <c r="H60" s="89"/>
      <c r="I60" s="89"/>
      <c r="J60" s="89"/>
      <c r="S60" s="28"/>
      <c r="T60" s="28"/>
      <c r="U60" s="28"/>
    </row>
    <row r="61" spans="1:22">
      <c r="G61" s="88"/>
      <c r="H61" s="89"/>
      <c r="I61" s="89"/>
      <c r="J61" s="89"/>
    </row>
    <row r="62" spans="1:22">
      <c r="G62" s="88"/>
      <c r="H62" s="89"/>
      <c r="I62" s="89"/>
      <c r="J62" s="89"/>
    </row>
    <row r="63" spans="1:22">
      <c r="G63" s="88"/>
      <c r="H63" s="89"/>
      <c r="I63" s="89"/>
      <c r="J63" s="89"/>
    </row>
    <row r="64" spans="1:22">
      <c r="G64" s="88"/>
      <c r="H64" s="89"/>
      <c r="I64" s="89"/>
      <c r="J64" s="89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 s="3" customFormat="1">
      <c r="A67"/>
      <c r="B67" s="15"/>
      <c r="G67" s="88"/>
      <c r="H67" s="89"/>
      <c r="I67" s="89"/>
      <c r="J67" s="89"/>
      <c r="W67" s="20"/>
      <c r="X67"/>
      <c r="Y67"/>
      <c r="Z67"/>
      <c r="AA67"/>
      <c r="AB67"/>
      <c r="AC67"/>
      <c r="AD67"/>
      <c r="AE67"/>
    </row>
    <row r="68" spans="1:31" s="3" customFormat="1">
      <c r="A68"/>
      <c r="B68" s="15"/>
      <c r="G68" s="88"/>
      <c r="H68" s="89"/>
      <c r="I68" s="89"/>
      <c r="J68" s="89"/>
      <c r="W68" s="20"/>
      <c r="X68"/>
      <c r="Y68"/>
      <c r="Z68"/>
      <c r="AA68"/>
      <c r="AB68"/>
      <c r="AC68"/>
      <c r="AD68"/>
      <c r="AE68"/>
    </row>
    <row r="69" spans="1:31" s="3" customFormat="1">
      <c r="A69"/>
      <c r="B69" s="15"/>
      <c r="G69" s="88"/>
      <c r="H69" s="89"/>
      <c r="I69" s="89"/>
      <c r="J69" s="89"/>
      <c r="W69" s="20"/>
      <c r="X69"/>
      <c r="Y69"/>
      <c r="Z69"/>
      <c r="AA69"/>
      <c r="AB69"/>
      <c r="AC69"/>
      <c r="AD69"/>
      <c r="AE69"/>
    </row>
    <row r="70" spans="1:31" s="3" customFormat="1">
      <c r="A70"/>
      <c r="B70" s="15"/>
      <c r="G70" s="88"/>
      <c r="H70" s="89"/>
      <c r="I70" s="89"/>
      <c r="J70" s="89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J75" s="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J76" s="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J77" s="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N104" s="3">
        <v>24</v>
      </c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N105" s="3">
        <v>22</v>
      </c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N106" s="3">
        <v>19</v>
      </c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22</v>
      </c>
      <c r="W107" s="20"/>
      <c r="X107"/>
      <c r="Y107"/>
      <c r="Z107"/>
      <c r="AA107"/>
      <c r="AB107"/>
      <c r="AC107"/>
      <c r="AD107"/>
      <c r="AE107"/>
    </row>
  </sheetData>
  <autoFilter ref="A6:AE47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48:V48"/>
    <mergeCell ref="A49:N49"/>
    <mergeCell ref="O49:V49"/>
    <mergeCell ref="A50:N54"/>
    <mergeCell ref="O50:V54"/>
    <mergeCell ref="C46:D46"/>
    <mergeCell ref="E46:G46"/>
    <mergeCell ref="H46:J46"/>
    <mergeCell ref="K46:N46"/>
    <mergeCell ref="O46:V46"/>
    <mergeCell ref="A47:V47"/>
    <mergeCell ref="C44:D44"/>
    <mergeCell ref="E44:G44"/>
    <mergeCell ref="H44:J44"/>
    <mergeCell ref="K44:N44"/>
    <mergeCell ref="O44:V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V42"/>
    <mergeCell ref="C43:D43"/>
    <mergeCell ref="E43:G43"/>
    <mergeCell ref="H43:J43"/>
    <mergeCell ref="K43:N43"/>
    <mergeCell ref="O43:V43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V41"/>
    <mergeCell ref="C38:D38"/>
    <mergeCell ref="E38:G38"/>
    <mergeCell ref="H38:J38"/>
    <mergeCell ref="K38:N38"/>
    <mergeCell ref="O38:R38"/>
    <mergeCell ref="C39:D39"/>
    <mergeCell ref="E39:G39"/>
    <mergeCell ref="H39:J39"/>
    <mergeCell ref="K39:N39"/>
    <mergeCell ref="O39:R39"/>
    <mergeCell ref="C37:D37"/>
    <mergeCell ref="E37:G37"/>
    <mergeCell ref="H37:J37"/>
    <mergeCell ref="K37:N37"/>
    <mergeCell ref="O37:R37"/>
    <mergeCell ref="V32:V33"/>
    <mergeCell ref="L34:L35"/>
    <mergeCell ref="M34:R35"/>
    <mergeCell ref="T34:U34"/>
    <mergeCell ref="F35:G35"/>
    <mergeCell ref="L30:V30"/>
    <mergeCell ref="M31:R31"/>
    <mergeCell ref="W31:W34"/>
    <mergeCell ref="L32:L33"/>
    <mergeCell ref="M32:R33"/>
    <mergeCell ref="S32:S33"/>
    <mergeCell ref="T32:U33"/>
    <mergeCell ref="A36:N36"/>
    <mergeCell ref="O36:V36"/>
    <mergeCell ref="A35:B35"/>
    <mergeCell ref="W18:W19"/>
    <mergeCell ref="L20:L24"/>
    <mergeCell ref="M20:R23"/>
    <mergeCell ref="S20:S23"/>
    <mergeCell ref="T20:U23"/>
    <mergeCell ref="V20:V23"/>
    <mergeCell ref="W20:W24"/>
    <mergeCell ref="M24:R29"/>
    <mergeCell ref="S24:S29"/>
    <mergeCell ref="T24:U29"/>
    <mergeCell ref="V24:V29"/>
    <mergeCell ref="L25:L29"/>
    <mergeCell ref="W25:W29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</mergeCells>
  <printOptions horizontalCentered="1"/>
  <pageMargins left="0.25" right="0.25" top="0" bottom="2.25" header="0" footer="0"/>
  <pageSetup paperSize="5" scale="24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242E-CB02-482A-9D03-887AD57F3DEA}">
  <sheetPr>
    <pageSetUpPr fitToPage="1"/>
  </sheetPr>
  <dimension ref="A1:AH107"/>
  <sheetViews>
    <sheetView rightToLeft="1" view="pageBreakPreview" topLeftCell="A13" zoomScale="40" zoomScaleNormal="110" zoomScaleSheetLayoutView="40" workbookViewId="0">
      <selection activeCell="T11" sqref="T11:U14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5.57031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81" t="s">
        <v>309</v>
      </c>
      <c r="S1" s="297" t="s">
        <v>310</v>
      </c>
      <c r="T1" s="297"/>
      <c r="U1" s="462" t="s">
        <v>311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82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82"/>
      <c r="S3" s="299"/>
      <c r="T3" s="299"/>
      <c r="U3" s="464"/>
      <c r="V3" s="465"/>
      <c r="W3" s="16"/>
      <c r="Y3">
        <f>20780-20000</f>
        <v>780</v>
      </c>
    </row>
    <row r="4" spans="1:34" ht="54.7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71.2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312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1</v>
      </c>
      <c r="D10" s="40">
        <v>1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6</v>
      </c>
      <c r="J11" s="40"/>
      <c r="K11" s="40"/>
      <c r="L11" s="186">
        <v>2</v>
      </c>
      <c r="M11" s="390" t="s">
        <v>297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242735</v>
      </c>
      <c r="W11" s="236">
        <f>V11+T11</f>
        <v>242735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1</v>
      </c>
      <c r="D14" s="40">
        <v>1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1</v>
      </c>
      <c r="E15" s="40">
        <v>2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231</v>
      </c>
      <c r="N16" s="432"/>
      <c r="O16" s="432"/>
      <c r="P16" s="432"/>
      <c r="Q16" s="432"/>
      <c r="R16" s="433"/>
      <c r="S16" s="458" t="s">
        <v>85</v>
      </c>
      <c r="T16" s="360">
        <v>1320</v>
      </c>
      <c r="U16" s="361"/>
      <c r="V16" s="445">
        <v>61824</v>
      </c>
      <c r="W16" s="47">
        <f>V16+T16</f>
        <v>63144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3</v>
      </c>
      <c r="I18" s="40">
        <v>3</v>
      </c>
      <c r="J18" s="40"/>
      <c r="K18" s="40"/>
      <c r="L18" s="186">
        <v>5</v>
      </c>
      <c r="M18" s="475" t="s">
        <v>313</v>
      </c>
      <c r="N18" s="476"/>
      <c r="O18" s="476"/>
      <c r="P18" s="476"/>
      <c r="Q18" s="476"/>
      <c r="R18" s="477"/>
      <c r="S18" s="160" t="s">
        <v>85</v>
      </c>
      <c r="T18" s="360">
        <v>1320</v>
      </c>
      <c r="U18" s="361"/>
      <c r="V18" s="445">
        <v>116946</v>
      </c>
      <c r="W18" s="178">
        <f>V18+T18</f>
        <v>118266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4</v>
      </c>
      <c r="J19" s="40">
        <v>1</v>
      </c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80.099999999999994" customHeight="1">
      <c r="A20" s="84">
        <v>13</v>
      </c>
      <c r="B20" s="14" t="s">
        <v>94</v>
      </c>
      <c r="C20" s="40">
        <v>1</v>
      </c>
      <c r="D20" s="40">
        <v>1</v>
      </c>
      <c r="E20" s="40"/>
      <c r="F20" s="40">
        <v>13</v>
      </c>
      <c r="G20" s="27" t="s">
        <v>19</v>
      </c>
      <c r="H20" s="40">
        <v>3</v>
      </c>
      <c r="I20" s="40">
        <v>3</v>
      </c>
      <c r="J20" s="40"/>
      <c r="K20" s="40"/>
      <c r="L20" s="152">
        <v>6</v>
      </c>
      <c r="M20" s="491" t="s">
        <v>296</v>
      </c>
      <c r="N20" s="492"/>
      <c r="O20" s="492"/>
      <c r="P20" s="492"/>
      <c r="Q20" s="492"/>
      <c r="R20" s="493"/>
      <c r="S20" s="442" t="s">
        <v>85</v>
      </c>
      <c r="T20" s="367">
        <v>0</v>
      </c>
      <c r="U20" s="368"/>
      <c r="V20" s="445">
        <v>43551</v>
      </c>
      <c r="W20" s="178">
        <f>V20+T20</f>
        <v>43551</v>
      </c>
      <c r="Z20" s="1"/>
    </row>
    <row r="21" spans="1:27" ht="80.099999999999994" customHeight="1">
      <c r="A21" s="84">
        <v>14</v>
      </c>
      <c r="B21" s="31" t="s">
        <v>225</v>
      </c>
      <c r="C21" s="40">
        <v>1</v>
      </c>
      <c r="D21" s="40">
        <v>1</v>
      </c>
      <c r="E21" s="40"/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494"/>
      <c r="N21" s="495"/>
      <c r="O21" s="495"/>
      <c r="P21" s="495"/>
      <c r="Q21" s="495"/>
      <c r="R21" s="496"/>
      <c r="S21" s="443"/>
      <c r="T21" s="369"/>
      <c r="U21" s="370"/>
      <c r="V21" s="446"/>
      <c r="W21" s="178"/>
      <c r="Z21" s="1"/>
    </row>
    <row r="22" spans="1:27" ht="80.099999999999994" customHeight="1">
      <c r="A22" s="84">
        <v>15</v>
      </c>
      <c r="B22" s="27" t="s">
        <v>8</v>
      </c>
      <c r="C22" s="59">
        <v>11</v>
      </c>
      <c r="D22" s="40">
        <v>9</v>
      </c>
      <c r="E22" s="40">
        <v>2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494"/>
      <c r="N22" s="495"/>
      <c r="O22" s="495"/>
      <c r="P22" s="495"/>
      <c r="Q22" s="495"/>
      <c r="R22" s="496"/>
      <c r="S22" s="443"/>
      <c r="T22" s="369"/>
      <c r="U22" s="370"/>
      <c r="V22" s="446"/>
      <c r="W22" s="178"/>
      <c r="Z22" s="1"/>
    </row>
    <row r="23" spans="1:27" ht="80.099999999999994" customHeight="1">
      <c r="A23" s="84">
        <v>16</v>
      </c>
      <c r="B23" s="27" t="s">
        <v>63</v>
      </c>
      <c r="C23" s="59">
        <v>10</v>
      </c>
      <c r="D23" s="40">
        <v>8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87"/>
      <c r="M23" s="497"/>
      <c r="N23" s="498"/>
      <c r="O23" s="498"/>
      <c r="P23" s="498"/>
      <c r="Q23" s="498"/>
      <c r="R23" s="499"/>
      <c r="S23" s="444"/>
      <c r="T23" s="371"/>
      <c r="U23" s="372"/>
      <c r="V23" s="447"/>
      <c r="W23" s="178"/>
      <c r="Z23" s="1"/>
    </row>
    <row r="24" spans="1:27" ht="70.5" customHeight="1">
      <c r="A24" s="84">
        <v>17</v>
      </c>
      <c r="B24" s="27" t="s">
        <v>17</v>
      </c>
      <c r="C24" s="40">
        <v>5</v>
      </c>
      <c r="D24" s="40">
        <v>4</v>
      </c>
      <c r="E24" s="40">
        <v>1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01" t="s">
        <v>252</v>
      </c>
      <c r="N24" s="402"/>
      <c r="O24" s="402"/>
      <c r="P24" s="402"/>
      <c r="Q24" s="402"/>
      <c r="R24" s="403"/>
      <c r="S24" s="442" t="s">
        <v>85</v>
      </c>
      <c r="T24" s="360">
        <v>0</v>
      </c>
      <c r="U24" s="361"/>
      <c r="V24" s="445">
        <v>38347</v>
      </c>
      <c r="W24" s="178"/>
      <c r="Z24" s="1"/>
    </row>
    <row r="25" spans="1:27" ht="69.95" customHeight="1">
      <c r="A25" s="84">
        <v>18</v>
      </c>
      <c r="B25" s="27" t="s">
        <v>43</v>
      </c>
      <c r="C25" s="40">
        <v>1</v>
      </c>
      <c r="D25" s="40"/>
      <c r="E25" s="40">
        <v>1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04"/>
      <c r="N25" s="405"/>
      <c r="O25" s="405"/>
      <c r="P25" s="405"/>
      <c r="Q25" s="405"/>
      <c r="R25" s="406"/>
      <c r="S25" s="443"/>
      <c r="T25" s="362"/>
      <c r="U25" s="363"/>
      <c r="V25" s="446"/>
      <c r="W25" s="209">
        <f>V24+T24</f>
        <v>38347</v>
      </c>
      <c r="Z25" s="1"/>
    </row>
    <row r="26" spans="1:27" ht="69.95" customHeight="1">
      <c r="A26" s="84">
        <v>19</v>
      </c>
      <c r="B26" s="27" t="s">
        <v>45</v>
      </c>
      <c r="C26" s="40">
        <v>2</v>
      </c>
      <c r="D26" s="40"/>
      <c r="E26" s="40">
        <v>2</v>
      </c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405"/>
      <c r="O26" s="405"/>
      <c r="P26" s="405"/>
      <c r="Q26" s="405"/>
      <c r="R26" s="406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69.95" customHeight="1">
      <c r="A27" s="84">
        <v>20</v>
      </c>
      <c r="B27" s="27" t="s">
        <v>58</v>
      </c>
      <c r="C27" s="40">
        <v>1</v>
      </c>
      <c r="D27" s="40">
        <v>1</v>
      </c>
      <c r="E27" s="40"/>
      <c r="F27" s="40">
        <v>20</v>
      </c>
      <c r="G27" s="27" t="s">
        <v>53</v>
      </c>
      <c r="H27" s="40">
        <v>18</v>
      </c>
      <c r="I27" s="40">
        <v>18</v>
      </c>
      <c r="J27" s="40"/>
      <c r="K27" s="40"/>
      <c r="L27" s="187"/>
      <c r="M27" s="404"/>
      <c r="N27" s="405"/>
      <c r="O27" s="405"/>
      <c r="P27" s="405"/>
      <c r="Q27" s="405"/>
      <c r="R27" s="406"/>
      <c r="S27" s="443"/>
      <c r="T27" s="362"/>
      <c r="U27" s="363"/>
      <c r="V27" s="446"/>
      <c r="W27" s="209"/>
      <c r="Z27" s="34">
        <v>118349</v>
      </c>
    </row>
    <row r="28" spans="1:27" s="6" customFormat="1" ht="69.95" customHeight="1">
      <c r="A28" s="84">
        <v>21</v>
      </c>
      <c r="B28" s="27" t="s">
        <v>101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04"/>
      <c r="N28" s="405"/>
      <c r="O28" s="405"/>
      <c r="P28" s="405"/>
      <c r="Q28" s="405"/>
      <c r="R28" s="406"/>
      <c r="S28" s="443"/>
      <c r="T28" s="362"/>
      <c r="U28" s="363"/>
      <c r="V28" s="446"/>
      <c r="W28" s="209"/>
      <c r="Z28" s="34"/>
    </row>
    <row r="29" spans="1:27" s="6" customFormat="1" ht="69.95" customHeight="1">
      <c r="A29" s="84">
        <v>22</v>
      </c>
      <c r="B29" s="27" t="s">
        <v>44</v>
      </c>
      <c r="C29" s="40">
        <v>2</v>
      </c>
      <c r="D29" s="40">
        <v>2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07"/>
      <c r="N29" s="408"/>
      <c r="O29" s="408"/>
      <c r="P29" s="408"/>
      <c r="Q29" s="408"/>
      <c r="R29" s="409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60</v>
      </c>
      <c r="C30" s="40">
        <v>2</v>
      </c>
      <c r="D30" s="40">
        <v>1</v>
      </c>
      <c r="E30" s="40">
        <v>1</v>
      </c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62</v>
      </c>
      <c r="C31" s="40">
        <v>3</v>
      </c>
      <c r="D31" s="40">
        <v>3</v>
      </c>
      <c r="E31" s="40"/>
      <c r="F31" s="40">
        <v>24</v>
      </c>
      <c r="G31" s="27" t="s">
        <v>97</v>
      </c>
      <c r="H31" s="40">
        <v>2</v>
      </c>
      <c r="I31" s="40"/>
      <c r="J31" s="40"/>
      <c r="K31" s="40"/>
      <c r="L31" s="40">
        <v>1</v>
      </c>
      <c r="M31" s="171"/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36</v>
      </c>
      <c r="C32" s="40">
        <v>2</v>
      </c>
      <c r="D32" s="40">
        <v>2</v>
      </c>
      <c r="E32" s="40"/>
      <c r="F32" s="40">
        <v>25</v>
      </c>
      <c r="G32" s="86" t="s">
        <v>220</v>
      </c>
      <c r="H32" s="40">
        <v>1</v>
      </c>
      <c r="I32" s="40"/>
      <c r="J32" s="40"/>
      <c r="K32" s="40"/>
      <c r="L32" s="152">
        <v>2</v>
      </c>
      <c r="M32" s="180"/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93</v>
      </c>
      <c r="C33" s="40">
        <v>1</v>
      </c>
      <c r="D33" s="40">
        <v>1</v>
      </c>
      <c r="E33" s="40"/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46</v>
      </c>
      <c r="C34" s="40">
        <v>1</v>
      </c>
      <c r="D34" s="40">
        <v>1</v>
      </c>
      <c r="E34" s="40"/>
      <c r="F34" s="40"/>
      <c r="G34" s="27"/>
      <c r="H34" s="40"/>
      <c r="I34" s="40"/>
      <c r="J34" s="40"/>
      <c r="K34" s="40"/>
      <c r="L34" s="152">
        <v>3</v>
      </c>
      <c r="M34" s="180"/>
      <c r="N34" s="181"/>
      <c r="O34" s="181"/>
      <c r="P34" s="181"/>
      <c r="Q34" s="181"/>
      <c r="R34" s="182"/>
      <c r="S34" s="90"/>
      <c r="T34" s="162"/>
      <c r="U34" s="163"/>
      <c r="V34" s="91"/>
      <c r="W34" s="179"/>
      <c r="Z34" s="1"/>
    </row>
    <row r="35" spans="1:27" ht="63.75" customHeight="1">
      <c r="A35" s="150" t="s">
        <v>9</v>
      </c>
      <c r="B35" s="151"/>
      <c r="C35" s="61">
        <f>SUM(C7:C34)</f>
        <v>60</v>
      </c>
      <c r="D35" s="61">
        <f>SUM(D7:D34)</f>
        <v>47</v>
      </c>
      <c r="E35" s="61">
        <f>SUM(E7:E34)</f>
        <v>13</v>
      </c>
      <c r="F35" s="151" t="s">
        <v>9</v>
      </c>
      <c r="G35" s="151"/>
      <c r="H35" s="64">
        <f>SUM(H7:H34)</f>
        <v>74</v>
      </c>
      <c r="I35" s="64">
        <f>SUM(I7:I34)</f>
        <v>64</v>
      </c>
      <c r="J35" s="64">
        <f>SUM(J7:J34)</f>
        <v>3</v>
      </c>
      <c r="K35" s="64">
        <f>SUM(K7:K34)</f>
        <v>4</v>
      </c>
      <c r="L35" s="153"/>
      <c r="M35" s="183"/>
      <c r="N35" s="184"/>
      <c r="O35" s="184"/>
      <c r="P35" s="184"/>
      <c r="Q35" s="184"/>
      <c r="R35" s="185"/>
      <c r="S35" s="48"/>
      <c r="T35" s="52"/>
      <c r="U35" s="53"/>
      <c r="V35" s="55"/>
      <c r="W35" s="16"/>
    </row>
    <row r="36" spans="1:27" ht="49.5" customHeight="1">
      <c r="A36" s="456" t="s">
        <v>81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132" t="s">
        <v>33</v>
      </c>
      <c r="P36" s="132"/>
      <c r="Q36" s="132"/>
      <c r="R36" s="132"/>
      <c r="S36" s="132"/>
      <c r="T36" s="132"/>
      <c r="U36" s="132"/>
      <c r="V36" s="133"/>
      <c r="W36" s="16"/>
    </row>
    <row r="37" spans="1:27" ht="54" customHeight="1">
      <c r="A37" s="11" t="s">
        <v>2</v>
      </c>
      <c r="B37" s="27" t="s">
        <v>5</v>
      </c>
      <c r="C37" s="143" t="s">
        <v>24</v>
      </c>
      <c r="D37" s="143"/>
      <c r="E37" s="143" t="s">
        <v>68</v>
      </c>
      <c r="F37" s="143"/>
      <c r="G37" s="143"/>
      <c r="H37" s="143" t="s">
        <v>42</v>
      </c>
      <c r="I37" s="143"/>
      <c r="J37" s="143"/>
      <c r="K37" s="143" t="s">
        <v>41</v>
      </c>
      <c r="L37" s="143"/>
      <c r="M37" s="143"/>
      <c r="N37" s="143"/>
      <c r="O37" s="144" t="s">
        <v>31</v>
      </c>
      <c r="P37" s="145"/>
      <c r="Q37" s="145"/>
      <c r="R37" s="146"/>
      <c r="S37" s="62" t="s">
        <v>75</v>
      </c>
      <c r="T37" s="62" t="s">
        <v>77</v>
      </c>
      <c r="U37" s="62" t="s">
        <v>76</v>
      </c>
      <c r="V37" s="63" t="s">
        <v>32</v>
      </c>
      <c r="W37" s="16"/>
    </row>
    <row r="38" spans="1:27" ht="116.25" customHeight="1">
      <c r="A38" s="85">
        <v>1</v>
      </c>
      <c r="B38" s="74" t="s">
        <v>135</v>
      </c>
      <c r="C38" s="134"/>
      <c r="D38" s="135"/>
      <c r="E38" s="109">
        <v>100</v>
      </c>
      <c r="F38" s="111"/>
      <c r="G38" s="110"/>
      <c r="H38" s="134">
        <v>0</v>
      </c>
      <c r="I38" s="136"/>
      <c r="J38" s="135"/>
      <c r="K38" s="134">
        <v>99</v>
      </c>
      <c r="L38" s="136"/>
      <c r="M38" s="136"/>
      <c r="N38" s="135"/>
      <c r="O38" s="140"/>
      <c r="P38" s="141"/>
      <c r="Q38" s="141"/>
      <c r="R38" s="142"/>
      <c r="S38" s="56"/>
      <c r="T38" s="56"/>
      <c r="U38" s="56"/>
      <c r="V38" s="58"/>
      <c r="W38" s="80">
        <f>K38+H38</f>
        <v>99</v>
      </c>
      <c r="Y38" s="8"/>
    </row>
    <row r="39" spans="1:27" ht="108" customHeight="1">
      <c r="A39" s="85">
        <v>2</v>
      </c>
      <c r="B39" s="74" t="s">
        <v>136</v>
      </c>
      <c r="C39" s="117">
        <v>60</v>
      </c>
      <c r="D39" s="118"/>
      <c r="E39" s="109">
        <v>2676</v>
      </c>
      <c r="F39" s="111"/>
      <c r="G39" s="110"/>
      <c r="H39" s="134">
        <v>0</v>
      </c>
      <c r="I39" s="136"/>
      <c r="J39" s="135"/>
      <c r="K39" s="134">
        <v>683</v>
      </c>
      <c r="L39" s="136"/>
      <c r="M39" s="136"/>
      <c r="N39" s="135"/>
      <c r="O39" s="140"/>
      <c r="P39" s="141"/>
      <c r="Q39" s="141"/>
      <c r="R39" s="142"/>
      <c r="S39" s="56"/>
      <c r="T39" s="56"/>
      <c r="U39" s="56"/>
      <c r="V39" s="58"/>
      <c r="W39" s="80">
        <f t="shared" ref="W39:W46" si="2">K39+H39</f>
        <v>683</v>
      </c>
      <c r="X39" s="2"/>
      <c r="Y39" s="7"/>
      <c r="Z39" s="7"/>
      <c r="AA39" s="9"/>
    </row>
    <row r="40" spans="1:27" ht="100.5" customHeight="1">
      <c r="A40" s="85">
        <v>3</v>
      </c>
      <c r="B40" s="74" t="s">
        <v>80</v>
      </c>
      <c r="C40" s="500"/>
      <c r="D40" s="501"/>
      <c r="E40" s="109">
        <v>178000</v>
      </c>
      <c r="F40" s="111"/>
      <c r="G40" s="110"/>
      <c r="H40" s="109">
        <v>2340</v>
      </c>
      <c r="I40" s="111"/>
      <c r="J40" s="110"/>
      <c r="K40" s="109">
        <v>144301</v>
      </c>
      <c r="L40" s="111"/>
      <c r="M40" s="111"/>
      <c r="N40" s="110"/>
      <c r="O40" s="140"/>
      <c r="P40" s="141"/>
      <c r="Q40" s="141"/>
      <c r="R40" s="142"/>
      <c r="S40" s="56"/>
      <c r="T40" s="56"/>
      <c r="U40" s="57"/>
      <c r="V40" s="58"/>
      <c r="W40" s="92">
        <f>K40+H40</f>
        <v>146641</v>
      </c>
      <c r="X40" s="2"/>
      <c r="Y40" s="7"/>
      <c r="Z40" s="7"/>
      <c r="AA40" s="9"/>
    </row>
    <row r="41" spans="1:27" ht="65.099999999999994" customHeight="1">
      <c r="A41" s="85">
        <v>4</v>
      </c>
      <c r="B41" s="74" t="s">
        <v>56</v>
      </c>
      <c r="C41" s="117"/>
      <c r="D41" s="118"/>
      <c r="E41" s="109">
        <v>20920</v>
      </c>
      <c r="F41" s="111"/>
      <c r="G41" s="110"/>
      <c r="H41" s="109">
        <v>0</v>
      </c>
      <c r="I41" s="111"/>
      <c r="J41" s="110"/>
      <c r="K41" s="109">
        <v>15900</v>
      </c>
      <c r="L41" s="111"/>
      <c r="M41" s="111"/>
      <c r="N41" s="110"/>
      <c r="O41" s="132" t="s">
        <v>25</v>
      </c>
      <c r="P41" s="132"/>
      <c r="Q41" s="132"/>
      <c r="R41" s="132"/>
      <c r="S41" s="132"/>
      <c r="T41" s="132"/>
      <c r="U41" s="132"/>
      <c r="V41" s="133"/>
      <c r="W41" s="22">
        <f t="shared" si="2"/>
        <v>15900</v>
      </c>
      <c r="X41" s="2"/>
      <c r="Y41" s="7"/>
      <c r="Z41" s="7"/>
      <c r="AA41" s="9"/>
    </row>
    <row r="42" spans="1:27" ht="65.099999999999994" customHeight="1">
      <c r="A42" s="85">
        <v>5</v>
      </c>
      <c r="B42" s="74" t="s">
        <v>114</v>
      </c>
      <c r="C42" s="122"/>
      <c r="D42" s="123"/>
      <c r="E42" s="109">
        <v>1349</v>
      </c>
      <c r="F42" s="111"/>
      <c r="G42" s="110"/>
      <c r="H42" s="109">
        <v>0</v>
      </c>
      <c r="I42" s="111"/>
      <c r="J42" s="110"/>
      <c r="K42" s="109">
        <v>1349</v>
      </c>
      <c r="L42" s="111"/>
      <c r="M42" s="111"/>
      <c r="N42" s="110"/>
      <c r="O42" s="126" t="s">
        <v>107</v>
      </c>
      <c r="P42" s="127"/>
      <c r="Q42" s="127"/>
      <c r="R42" s="127"/>
      <c r="S42" s="127"/>
      <c r="T42" s="127"/>
      <c r="U42" s="127"/>
      <c r="V42" s="128"/>
      <c r="W42" s="22">
        <f>K42+H42</f>
        <v>1349</v>
      </c>
      <c r="X42" s="2"/>
      <c r="Y42" s="7"/>
      <c r="Z42" s="7"/>
      <c r="AA42" s="9"/>
    </row>
    <row r="43" spans="1:27" ht="65.099999999999994" customHeight="1">
      <c r="A43" s="85">
        <v>6</v>
      </c>
      <c r="B43" s="74" t="s">
        <v>115</v>
      </c>
      <c r="C43" s="122">
        <v>102</v>
      </c>
      <c r="D43" s="123"/>
      <c r="E43" s="109">
        <v>8237</v>
      </c>
      <c r="F43" s="111"/>
      <c r="G43" s="110"/>
      <c r="H43" s="109">
        <v>102</v>
      </c>
      <c r="I43" s="111"/>
      <c r="J43" s="110"/>
      <c r="K43" s="109">
        <v>8237</v>
      </c>
      <c r="L43" s="111"/>
      <c r="M43" s="111"/>
      <c r="N43" s="110"/>
      <c r="O43" s="126" t="s">
        <v>86</v>
      </c>
      <c r="P43" s="127"/>
      <c r="Q43" s="127"/>
      <c r="R43" s="127"/>
      <c r="S43" s="127"/>
      <c r="T43" s="127"/>
      <c r="U43" s="127"/>
      <c r="V43" s="128"/>
      <c r="W43" s="23">
        <f>K43+H43</f>
        <v>8339</v>
      </c>
      <c r="X43" s="2"/>
      <c r="Y43" s="7"/>
      <c r="Z43" s="7"/>
      <c r="AA43" s="9"/>
    </row>
    <row r="44" spans="1:27" ht="65.099999999999994" customHeight="1">
      <c r="A44" s="85">
        <v>7</v>
      </c>
      <c r="B44" s="74" t="s">
        <v>79</v>
      </c>
      <c r="C44" s="117"/>
      <c r="D44" s="118"/>
      <c r="E44" s="109">
        <v>9260</v>
      </c>
      <c r="F44" s="111"/>
      <c r="G44" s="110"/>
      <c r="H44" s="109">
        <v>0</v>
      </c>
      <c r="I44" s="111"/>
      <c r="J44" s="110"/>
      <c r="K44" s="109">
        <v>7980</v>
      </c>
      <c r="L44" s="111"/>
      <c r="M44" s="111"/>
      <c r="N44" s="110"/>
      <c r="O44" s="119" t="s">
        <v>87</v>
      </c>
      <c r="P44" s="120"/>
      <c r="Q44" s="120"/>
      <c r="R44" s="120"/>
      <c r="S44" s="120"/>
      <c r="T44" s="120"/>
      <c r="U44" s="120"/>
      <c r="V44" s="121"/>
      <c r="W44" s="22">
        <f t="shared" si="2"/>
        <v>7980</v>
      </c>
      <c r="X44" s="2"/>
      <c r="Y44" s="7"/>
      <c r="Z44" s="7"/>
      <c r="AA44" s="9"/>
    </row>
    <row r="45" spans="1:27" ht="65.099999999999994" customHeight="1">
      <c r="A45" s="85">
        <v>8</v>
      </c>
      <c r="B45" s="74" t="s">
        <v>98</v>
      </c>
      <c r="C45" s="122"/>
      <c r="D45" s="123"/>
      <c r="E45" s="109">
        <v>2938</v>
      </c>
      <c r="F45" s="111"/>
      <c r="G45" s="110"/>
      <c r="H45" s="109">
        <v>0</v>
      </c>
      <c r="I45" s="111"/>
      <c r="J45" s="110"/>
      <c r="K45" s="109">
        <v>400</v>
      </c>
      <c r="L45" s="111"/>
      <c r="M45" s="111"/>
      <c r="N45" s="110"/>
      <c r="O45" s="124" t="s">
        <v>96</v>
      </c>
      <c r="P45" s="124"/>
      <c r="Q45" s="124"/>
      <c r="R45" s="124"/>
      <c r="S45" s="124"/>
      <c r="T45" s="124"/>
      <c r="U45" s="124"/>
      <c r="V45" s="125"/>
      <c r="W45" s="22">
        <f t="shared" si="2"/>
        <v>400</v>
      </c>
      <c r="X45" s="2"/>
      <c r="Y45" s="7"/>
      <c r="Z45" s="7"/>
      <c r="AA45" s="9"/>
    </row>
    <row r="46" spans="1:27" ht="65.099999999999994" customHeight="1">
      <c r="A46" s="85">
        <v>9</v>
      </c>
      <c r="B46" s="74" t="s">
        <v>99</v>
      </c>
      <c r="C46" s="109"/>
      <c r="D46" s="110"/>
      <c r="E46" s="109">
        <v>1523</v>
      </c>
      <c r="F46" s="111"/>
      <c r="G46" s="110"/>
      <c r="H46" s="109">
        <v>0</v>
      </c>
      <c r="I46" s="111"/>
      <c r="J46" s="110"/>
      <c r="K46" s="109">
        <v>200</v>
      </c>
      <c r="L46" s="111"/>
      <c r="M46" s="111"/>
      <c r="N46" s="110"/>
      <c r="O46" s="399"/>
      <c r="P46" s="399"/>
      <c r="Q46" s="399"/>
      <c r="R46" s="399"/>
      <c r="S46" s="399"/>
      <c r="T46" s="399"/>
      <c r="U46" s="399"/>
      <c r="V46" s="400"/>
      <c r="W46" s="22">
        <f t="shared" si="2"/>
        <v>200</v>
      </c>
      <c r="X46" s="2"/>
      <c r="Y46" s="7"/>
      <c r="Z46" s="7"/>
      <c r="AA46" s="9"/>
    </row>
    <row r="47" spans="1:27" ht="69" customHeight="1">
      <c r="A47" s="488" t="s">
        <v>90</v>
      </c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9"/>
      <c r="Q47" s="489"/>
      <c r="R47" s="489"/>
      <c r="S47" s="489"/>
      <c r="T47" s="489"/>
      <c r="U47" s="489"/>
      <c r="V47" s="490"/>
      <c r="W47" s="21"/>
      <c r="X47" s="2"/>
      <c r="Y47" s="7">
        <f>14050+100</f>
        <v>14150</v>
      </c>
      <c r="Z47" s="7"/>
      <c r="AA47" s="9"/>
    </row>
    <row r="48" spans="1:27" s="44" customFormat="1" ht="54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  <c r="W48" s="41"/>
      <c r="X48" s="42"/>
      <c r="Y48" s="42"/>
      <c r="Z48" s="42"/>
      <c r="AA48" s="43"/>
    </row>
    <row r="49" spans="1:22" ht="97.5" customHeight="1">
      <c r="A49" s="96" t="s">
        <v>88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8"/>
      <c r="O49" s="99" t="s">
        <v>18</v>
      </c>
      <c r="P49" s="99"/>
      <c r="Q49" s="99"/>
      <c r="R49" s="99"/>
      <c r="S49" s="99"/>
      <c r="T49" s="99"/>
      <c r="U49" s="99"/>
      <c r="V49" s="100"/>
    </row>
    <row r="50" spans="1:22" ht="63.75" customHeight="1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452" t="s">
        <v>67</v>
      </c>
      <c r="P50" s="452"/>
      <c r="Q50" s="452"/>
      <c r="R50" s="452"/>
      <c r="S50" s="452"/>
      <c r="T50" s="452"/>
      <c r="U50" s="452"/>
      <c r="V50" s="453"/>
    </row>
    <row r="51" spans="1:22" ht="45" customHeight="1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452"/>
      <c r="P51" s="452"/>
      <c r="Q51" s="452"/>
      <c r="R51" s="452"/>
      <c r="S51" s="452"/>
      <c r="T51" s="452"/>
      <c r="U51" s="452"/>
      <c r="V51" s="453"/>
    </row>
    <row r="52" spans="1:22" ht="45" customHeight="1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452"/>
      <c r="P52" s="452"/>
      <c r="Q52" s="452"/>
      <c r="R52" s="452"/>
      <c r="S52" s="452"/>
      <c r="T52" s="452"/>
      <c r="U52" s="452"/>
      <c r="V52" s="453"/>
    </row>
    <row r="53" spans="1:22" ht="88.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/>
      <c r="P53" s="452"/>
      <c r="Q53" s="452"/>
      <c r="R53" s="452"/>
      <c r="S53" s="452"/>
      <c r="T53" s="452"/>
      <c r="U53" s="452"/>
      <c r="V53" s="453"/>
    </row>
    <row r="54" spans="1:22" ht="123.75" customHeight="1" thickBot="1">
      <c r="A54" s="103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454"/>
      <c r="P54" s="454"/>
      <c r="Q54" s="454"/>
      <c r="R54" s="454"/>
      <c r="S54" s="454"/>
      <c r="T54" s="454"/>
      <c r="U54" s="454"/>
      <c r="V54" s="455"/>
    </row>
    <row r="57" spans="1:22">
      <c r="S57" s="28"/>
      <c r="T57" s="28"/>
      <c r="U57" s="28"/>
    </row>
    <row r="58" spans="1:22">
      <c r="G58" s="88"/>
      <c r="H58" s="89"/>
      <c r="I58" s="89"/>
      <c r="J58" s="89"/>
      <c r="S58" s="28"/>
      <c r="T58" s="28"/>
      <c r="U58" s="29"/>
    </row>
    <row r="59" spans="1:22">
      <c r="G59" s="88"/>
      <c r="H59" s="89"/>
      <c r="I59" s="89"/>
      <c r="J59" s="89"/>
      <c r="S59" s="28"/>
      <c r="T59" s="28"/>
      <c r="U59" s="30"/>
    </row>
    <row r="60" spans="1:22">
      <c r="G60" s="88"/>
      <c r="H60" s="89"/>
      <c r="I60" s="89"/>
      <c r="J60" s="89"/>
      <c r="S60" s="28"/>
      <c r="T60" s="28"/>
      <c r="U60" s="28"/>
    </row>
    <row r="61" spans="1:22">
      <c r="G61" s="88"/>
      <c r="H61" s="89"/>
      <c r="I61" s="89"/>
      <c r="J61" s="89"/>
    </row>
    <row r="62" spans="1:22">
      <c r="G62" s="88"/>
      <c r="H62" s="89"/>
      <c r="I62" s="89"/>
      <c r="J62" s="89"/>
    </row>
    <row r="63" spans="1:22">
      <c r="G63" s="88"/>
      <c r="H63" s="89"/>
      <c r="I63" s="89"/>
      <c r="J63" s="89"/>
    </row>
    <row r="64" spans="1:22">
      <c r="G64" s="88"/>
      <c r="H64" s="89"/>
      <c r="I64" s="89"/>
      <c r="J64" s="89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 s="3" customFormat="1">
      <c r="A67"/>
      <c r="B67" s="15"/>
      <c r="G67" s="88"/>
      <c r="H67" s="89"/>
      <c r="I67" s="89"/>
      <c r="J67" s="89"/>
      <c r="W67" s="20"/>
      <c r="X67"/>
      <c r="Y67"/>
      <c r="Z67"/>
      <c r="AA67"/>
      <c r="AB67"/>
      <c r="AC67"/>
      <c r="AD67"/>
      <c r="AE67"/>
    </row>
    <row r="68" spans="1:31" s="3" customFormat="1">
      <c r="A68"/>
      <c r="B68" s="15"/>
      <c r="G68" s="88"/>
      <c r="H68" s="89"/>
      <c r="I68" s="89"/>
      <c r="J68" s="89"/>
      <c r="W68" s="20"/>
      <c r="X68"/>
      <c r="Y68"/>
      <c r="Z68"/>
      <c r="AA68"/>
      <c r="AB68"/>
      <c r="AC68"/>
      <c r="AD68"/>
      <c r="AE68"/>
    </row>
    <row r="69" spans="1:31" s="3" customFormat="1">
      <c r="A69"/>
      <c r="B69" s="15"/>
      <c r="G69" s="88"/>
      <c r="H69" s="89"/>
      <c r="I69" s="89"/>
      <c r="J69" s="89"/>
      <c r="W69" s="20"/>
      <c r="X69"/>
      <c r="Y69"/>
      <c r="Z69"/>
      <c r="AA69"/>
      <c r="AB69"/>
      <c r="AC69"/>
      <c r="AD69"/>
      <c r="AE69"/>
    </row>
    <row r="70" spans="1:31" s="3" customFormat="1">
      <c r="A70"/>
      <c r="B70" s="15"/>
      <c r="G70" s="88"/>
      <c r="H70" s="89"/>
      <c r="I70" s="89"/>
      <c r="J70" s="89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J75" s="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J76" s="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J77" s="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N104" s="3">
        <v>24</v>
      </c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N105" s="3">
        <v>22</v>
      </c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N106" s="3">
        <v>19</v>
      </c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22</v>
      </c>
      <c r="W107" s="20"/>
      <c r="X107"/>
      <c r="Y107"/>
      <c r="Z107"/>
      <c r="AA107"/>
      <c r="AB107"/>
      <c r="AC107"/>
      <c r="AD107"/>
      <c r="AE107"/>
    </row>
  </sheetData>
  <autoFilter ref="A6:AE47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48:V48"/>
    <mergeCell ref="A49:N49"/>
    <mergeCell ref="O49:V49"/>
    <mergeCell ref="A50:N54"/>
    <mergeCell ref="O50:V54"/>
    <mergeCell ref="C46:D46"/>
    <mergeCell ref="E46:G46"/>
    <mergeCell ref="H46:J46"/>
    <mergeCell ref="K46:N46"/>
    <mergeCell ref="O46:V46"/>
    <mergeCell ref="A47:V47"/>
    <mergeCell ref="C44:D44"/>
    <mergeCell ref="E44:G44"/>
    <mergeCell ref="H44:J44"/>
    <mergeCell ref="K44:N44"/>
    <mergeCell ref="O44:V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V42"/>
    <mergeCell ref="C43:D43"/>
    <mergeCell ref="E43:G43"/>
    <mergeCell ref="H43:J43"/>
    <mergeCell ref="K43:N43"/>
    <mergeCell ref="O43:V43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V41"/>
    <mergeCell ref="C38:D38"/>
    <mergeCell ref="E38:G38"/>
    <mergeCell ref="H38:J38"/>
    <mergeCell ref="K38:N38"/>
    <mergeCell ref="O38:R38"/>
    <mergeCell ref="C39:D39"/>
    <mergeCell ref="E39:G39"/>
    <mergeCell ref="H39:J39"/>
    <mergeCell ref="K39:N39"/>
    <mergeCell ref="O39:R39"/>
    <mergeCell ref="C37:D37"/>
    <mergeCell ref="E37:G37"/>
    <mergeCell ref="H37:J37"/>
    <mergeCell ref="K37:N37"/>
    <mergeCell ref="O37:R37"/>
    <mergeCell ref="V32:V33"/>
    <mergeCell ref="L34:L35"/>
    <mergeCell ref="M34:R35"/>
    <mergeCell ref="T34:U34"/>
    <mergeCell ref="F35:G35"/>
    <mergeCell ref="L30:V30"/>
    <mergeCell ref="M31:R31"/>
    <mergeCell ref="W31:W34"/>
    <mergeCell ref="L32:L33"/>
    <mergeCell ref="M32:R33"/>
    <mergeCell ref="S32:S33"/>
    <mergeCell ref="T32:U33"/>
    <mergeCell ref="A36:N36"/>
    <mergeCell ref="O36:V36"/>
    <mergeCell ref="A35:B35"/>
    <mergeCell ref="W18:W19"/>
    <mergeCell ref="L20:L24"/>
    <mergeCell ref="M20:R23"/>
    <mergeCell ref="S20:S23"/>
    <mergeCell ref="T20:U23"/>
    <mergeCell ref="V20:V23"/>
    <mergeCell ref="W20:W24"/>
    <mergeCell ref="M24:R29"/>
    <mergeCell ref="S24:S29"/>
    <mergeCell ref="T24:U29"/>
    <mergeCell ref="V24:V29"/>
    <mergeCell ref="L25:L29"/>
    <mergeCell ref="W25:W29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</mergeCells>
  <phoneticPr fontId="52" type="noConversion"/>
  <printOptions horizontalCentered="1"/>
  <pageMargins left="0.25" right="0.25" top="0" bottom="2.25" header="0" footer="0"/>
  <pageSetup paperSize="5" scale="24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F4FA-E8B8-45AC-896F-4654640C8EEF}">
  <sheetPr>
    <pageSetUpPr fitToPage="1"/>
  </sheetPr>
  <dimension ref="A1:AH107"/>
  <sheetViews>
    <sheetView rightToLeft="1" view="pageBreakPreview" topLeftCell="A40" zoomScale="40" zoomScaleNormal="110" zoomScaleSheetLayoutView="40" workbookViewId="0">
      <selection activeCell="E46" sqref="E46:G46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5.57031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81" t="s">
        <v>318</v>
      </c>
      <c r="S1" s="297" t="s">
        <v>315</v>
      </c>
      <c r="T1" s="297"/>
      <c r="U1" s="462" t="s">
        <v>316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82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82"/>
      <c r="S3" s="299"/>
      <c r="T3" s="299"/>
      <c r="U3" s="464"/>
      <c r="V3" s="465"/>
      <c r="W3" s="16"/>
      <c r="Y3">
        <f>20780-20000</f>
        <v>780</v>
      </c>
    </row>
    <row r="4" spans="1:34" ht="54.7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71.2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317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1</v>
      </c>
      <c r="D10" s="40">
        <v>1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1</v>
      </c>
      <c r="J11" s="40">
        <v>1</v>
      </c>
      <c r="K11" s="40"/>
      <c r="L11" s="186">
        <v>2</v>
      </c>
      <c r="M11" s="390" t="s">
        <v>297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242735</v>
      </c>
      <c r="W11" s="236">
        <f>V11+T11</f>
        <v>242735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1</v>
      </c>
      <c r="D14" s="40">
        <v>1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1</v>
      </c>
      <c r="E15" s="40">
        <v>2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320</v>
      </c>
      <c r="N16" s="432"/>
      <c r="O16" s="432"/>
      <c r="P16" s="432"/>
      <c r="Q16" s="432"/>
      <c r="R16" s="433"/>
      <c r="S16" s="458" t="s">
        <v>85</v>
      </c>
      <c r="T16" s="360">
        <v>1310</v>
      </c>
      <c r="U16" s="361"/>
      <c r="V16" s="445">
        <v>63134</v>
      </c>
      <c r="W16" s="47">
        <f>V16+T16</f>
        <v>64444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3</v>
      </c>
      <c r="I18" s="40">
        <v>3</v>
      </c>
      <c r="J18" s="40"/>
      <c r="K18" s="40"/>
      <c r="L18" s="186">
        <v>5</v>
      </c>
      <c r="M18" s="475" t="s">
        <v>319</v>
      </c>
      <c r="N18" s="476"/>
      <c r="O18" s="476"/>
      <c r="P18" s="476"/>
      <c r="Q18" s="476"/>
      <c r="R18" s="477"/>
      <c r="S18" s="160" t="s">
        <v>85</v>
      </c>
      <c r="T18" s="360">
        <v>1310</v>
      </c>
      <c r="U18" s="361"/>
      <c r="V18" s="445">
        <v>118256</v>
      </c>
      <c r="W18" s="178">
        <f>V18+T18</f>
        <v>119566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4</v>
      </c>
      <c r="J19" s="40">
        <v>1</v>
      </c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99.95" customHeight="1">
      <c r="A20" s="84">
        <v>13</v>
      </c>
      <c r="B20" s="14" t="s">
        <v>94</v>
      </c>
      <c r="C20" s="40">
        <v>1</v>
      </c>
      <c r="D20" s="40">
        <v>1</v>
      </c>
      <c r="E20" s="40"/>
      <c r="F20" s="40">
        <v>13</v>
      </c>
      <c r="G20" s="27" t="s">
        <v>19</v>
      </c>
      <c r="H20" s="40">
        <v>3</v>
      </c>
      <c r="I20" s="40">
        <v>3</v>
      </c>
      <c r="J20" s="40"/>
      <c r="K20" s="40"/>
      <c r="L20" s="152">
        <v>6</v>
      </c>
      <c r="M20" s="491" t="s">
        <v>321</v>
      </c>
      <c r="N20" s="492"/>
      <c r="O20" s="492"/>
      <c r="P20" s="492"/>
      <c r="Q20" s="492"/>
      <c r="R20" s="493"/>
      <c r="S20" s="442" t="s">
        <v>85</v>
      </c>
      <c r="T20" s="367">
        <v>801</v>
      </c>
      <c r="U20" s="368"/>
      <c r="V20" s="445">
        <v>44352</v>
      </c>
      <c r="W20" s="178">
        <f>V20+T20</f>
        <v>45153</v>
      </c>
      <c r="Z20" s="1"/>
    </row>
    <row r="21" spans="1:27" ht="99.95" customHeight="1">
      <c r="A21" s="84">
        <v>14</v>
      </c>
      <c r="B21" s="31" t="s">
        <v>225</v>
      </c>
      <c r="C21" s="40">
        <v>1</v>
      </c>
      <c r="D21" s="40">
        <v>1</v>
      </c>
      <c r="E21" s="40"/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494"/>
      <c r="N21" s="495"/>
      <c r="O21" s="495"/>
      <c r="P21" s="495"/>
      <c r="Q21" s="495"/>
      <c r="R21" s="496"/>
      <c r="S21" s="443"/>
      <c r="T21" s="369"/>
      <c r="U21" s="370"/>
      <c r="V21" s="446"/>
      <c r="W21" s="178"/>
      <c r="Z21" s="1"/>
    </row>
    <row r="22" spans="1:27" ht="99.95" customHeight="1">
      <c r="A22" s="84">
        <v>15</v>
      </c>
      <c r="B22" s="27" t="s">
        <v>8</v>
      </c>
      <c r="C22" s="59">
        <v>11</v>
      </c>
      <c r="D22" s="40">
        <v>9</v>
      </c>
      <c r="E22" s="40">
        <v>2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494"/>
      <c r="N22" s="495"/>
      <c r="O22" s="495"/>
      <c r="P22" s="495"/>
      <c r="Q22" s="495"/>
      <c r="R22" s="496"/>
      <c r="S22" s="443"/>
      <c r="T22" s="369"/>
      <c r="U22" s="370"/>
      <c r="V22" s="446"/>
      <c r="W22" s="178"/>
      <c r="Z22" s="1"/>
    </row>
    <row r="23" spans="1:27" ht="99.95" customHeight="1">
      <c r="A23" s="84">
        <v>16</v>
      </c>
      <c r="B23" s="27" t="s">
        <v>63</v>
      </c>
      <c r="C23" s="59">
        <v>10</v>
      </c>
      <c r="D23" s="40">
        <v>8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87"/>
      <c r="M23" s="497"/>
      <c r="N23" s="498"/>
      <c r="O23" s="498"/>
      <c r="P23" s="498"/>
      <c r="Q23" s="498"/>
      <c r="R23" s="499"/>
      <c r="S23" s="444"/>
      <c r="T23" s="371"/>
      <c r="U23" s="372"/>
      <c r="V23" s="447"/>
      <c r="W23" s="178"/>
      <c r="Z23" s="1"/>
    </row>
    <row r="24" spans="1:27" ht="70.5" customHeight="1">
      <c r="A24" s="84">
        <v>17</v>
      </c>
      <c r="B24" s="27" t="s">
        <v>17</v>
      </c>
      <c r="C24" s="40">
        <v>5</v>
      </c>
      <c r="D24" s="40">
        <v>4</v>
      </c>
      <c r="E24" s="40">
        <v>1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401" t="s">
        <v>314</v>
      </c>
      <c r="N24" s="402"/>
      <c r="O24" s="402"/>
      <c r="P24" s="402"/>
      <c r="Q24" s="402"/>
      <c r="R24" s="403"/>
      <c r="S24" s="442" t="s">
        <v>85</v>
      </c>
      <c r="T24" s="360">
        <v>1058</v>
      </c>
      <c r="U24" s="361"/>
      <c r="V24" s="445">
        <v>39405</v>
      </c>
      <c r="W24" s="178"/>
      <c r="Z24" s="1"/>
    </row>
    <row r="25" spans="1:27" ht="69.95" customHeight="1">
      <c r="A25" s="84">
        <v>18</v>
      </c>
      <c r="B25" s="27" t="s">
        <v>43</v>
      </c>
      <c r="C25" s="40">
        <v>1</v>
      </c>
      <c r="D25" s="40"/>
      <c r="E25" s="40">
        <v>1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04"/>
      <c r="N25" s="405"/>
      <c r="O25" s="405"/>
      <c r="P25" s="405"/>
      <c r="Q25" s="405"/>
      <c r="R25" s="406"/>
      <c r="S25" s="443"/>
      <c r="T25" s="362"/>
      <c r="U25" s="363"/>
      <c r="V25" s="446"/>
      <c r="W25" s="209">
        <f>V24+T24</f>
        <v>40463</v>
      </c>
      <c r="Z25" s="1"/>
    </row>
    <row r="26" spans="1:27" ht="69.95" customHeight="1">
      <c r="A26" s="84">
        <v>19</v>
      </c>
      <c r="B26" s="27" t="s">
        <v>45</v>
      </c>
      <c r="C26" s="40">
        <v>2</v>
      </c>
      <c r="D26" s="40"/>
      <c r="E26" s="40">
        <v>2</v>
      </c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405"/>
      <c r="O26" s="405"/>
      <c r="P26" s="405"/>
      <c r="Q26" s="405"/>
      <c r="R26" s="406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69.95" customHeight="1">
      <c r="A27" s="84">
        <v>20</v>
      </c>
      <c r="B27" s="27" t="s">
        <v>58</v>
      </c>
      <c r="C27" s="40">
        <v>1</v>
      </c>
      <c r="D27" s="40">
        <v>1</v>
      </c>
      <c r="E27" s="40"/>
      <c r="F27" s="40">
        <v>20</v>
      </c>
      <c r="G27" s="27" t="s">
        <v>53</v>
      </c>
      <c r="H27" s="40">
        <v>18</v>
      </c>
      <c r="I27" s="40">
        <v>18</v>
      </c>
      <c r="J27" s="40"/>
      <c r="K27" s="40"/>
      <c r="L27" s="187"/>
      <c r="M27" s="404"/>
      <c r="N27" s="405"/>
      <c r="O27" s="405"/>
      <c r="P27" s="405"/>
      <c r="Q27" s="405"/>
      <c r="R27" s="406"/>
      <c r="S27" s="443"/>
      <c r="T27" s="362"/>
      <c r="U27" s="363"/>
      <c r="V27" s="446"/>
      <c r="W27" s="209"/>
      <c r="Z27" s="34">
        <v>118349</v>
      </c>
    </row>
    <row r="28" spans="1:27" s="6" customFormat="1" ht="69.95" customHeight="1">
      <c r="A28" s="84">
        <v>21</v>
      </c>
      <c r="B28" s="27" t="s">
        <v>101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04"/>
      <c r="N28" s="405"/>
      <c r="O28" s="405"/>
      <c r="P28" s="405"/>
      <c r="Q28" s="405"/>
      <c r="R28" s="406"/>
      <c r="S28" s="443"/>
      <c r="T28" s="362"/>
      <c r="U28" s="363"/>
      <c r="V28" s="446"/>
      <c r="W28" s="209"/>
      <c r="Z28" s="34"/>
    </row>
    <row r="29" spans="1:27" s="6" customFormat="1" ht="69.95" customHeight="1">
      <c r="A29" s="84">
        <v>22</v>
      </c>
      <c r="B29" s="27" t="s">
        <v>44</v>
      </c>
      <c r="C29" s="40">
        <v>2</v>
      </c>
      <c r="D29" s="40">
        <v>2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07"/>
      <c r="N29" s="408"/>
      <c r="O29" s="408"/>
      <c r="P29" s="408"/>
      <c r="Q29" s="408"/>
      <c r="R29" s="409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60</v>
      </c>
      <c r="C30" s="40">
        <v>2</v>
      </c>
      <c r="D30" s="40">
        <v>1</v>
      </c>
      <c r="E30" s="40">
        <v>1</v>
      </c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62</v>
      </c>
      <c r="C31" s="40">
        <v>3</v>
      </c>
      <c r="D31" s="40">
        <v>3</v>
      </c>
      <c r="E31" s="40"/>
      <c r="F31" s="40">
        <v>24</v>
      </c>
      <c r="G31" s="27" t="s">
        <v>97</v>
      </c>
      <c r="H31" s="40">
        <v>2</v>
      </c>
      <c r="I31" s="40"/>
      <c r="J31" s="40"/>
      <c r="K31" s="40"/>
      <c r="L31" s="40">
        <v>1</v>
      </c>
      <c r="M31" s="171"/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36</v>
      </c>
      <c r="C32" s="40">
        <v>2</v>
      </c>
      <c r="D32" s="40">
        <v>2</v>
      </c>
      <c r="E32" s="40"/>
      <c r="F32" s="40">
        <v>25</v>
      </c>
      <c r="G32" s="86" t="s">
        <v>220</v>
      </c>
      <c r="H32" s="40">
        <v>1</v>
      </c>
      <c r="I32" s="40"/>
      <c r="J32" s="40"/>
      <c r="K32" s="40"/>
      <c r="L32" s="152">
        <v>2</v>
      </c>
      <c r="M32" s="180"/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93</v>
      </c>
      <c r="C33" s="40">
        <v>1</v>
      </c>
      <c r="D33" s="40">
        <v>1</v>
      </c>
      <c r="E33" s="40"/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46</v>
      </c>
      <c r="C34" s="40">
        <v>1</v>
      </c>
      <c r="D34" s="40">
        <v>1</v>
      </c>
      <c r="E34" s="40"/>
      <c r="F34" s="40"/>
      <c r="G34" s="27"/>
      <c r="H34" s="40"/>
      <c r="I34" s="40"/>
      <c r="J34" s="40"/>
      <c r="K34" s="40"/>
      <c r="L34" s="152">
        <v>3</v>
      </c>
      <c r="M34" s="180"/>
      <c r="N34" s="181"/>
      <c r="O34" s="181"/>
      <c r="P34" s="181"/>
      <c r="Q34" s="181"/>
      <c r="R34" s="182"/>
      <c r="S34" s="90"/>
      <c r="T34" s="162"/>
      <c r="U34" s="163"/>
      <c r="V34" s="91"/>
      <c r="W34" s="179"/>
      <c r="Z34" s="1"/>
    </row>
    <row r="35" spans="1:27" ht="63.75" customHeight="1">
      <c r="A35" s="150" t="s">
        <v>9</v>
      </c>
      <c r="B35" s="151"/>
      <c r="C35" s="61">
        <f>SUM(C7:C34)</f>
        <v>60</v>
      </c>
      <c r="D35" s="61">
        <f>SUM(D7:D34)</f>
        <v>47</v>
      </c>
      <c r="E35" s="61">
        <f>SUM(E7:E34)</f>
        <v>13</v>
      </c>
      <c r="F35" s="151" t="s">
        <v>9</v>
      </c>
      <c r="G35" s="151"/>
      <c r="H35" s="64">
        <f>SUM(H7:H34)</f>
        <v>74</v>
      </c>
      <c r="I35" s="64">
        <f>SUM(I7:I34)</f>
        <v>59</v>
      </c>
      <c r="J35" s="64">
        <f>SUM(J7:J34)</f>
        <v>4</v>
      </c>
      <c r="K35" s="64">
        <f>SUM(K7:K34)</f>
        <v>4</v>
      </c>
      <c r="L35" s="153"/>
      <c r="M35" s="183"/>
      <c r="N35" s="184"/>
      <c r="O35" s="184"/>
      <c r="P35" s="184"/>
      <c r="Q35" s="184"/>
      <c r="R35" s="185"/>
      <c r="S35" s="48"/>
      <c r="T35" s="52"/>
      <c r="U35" s="53"/>
      <c r="V35" s="55"/>
      <c r="W35" s="16"/>
    </row>
    <row r="36" spans="1:27" ht="49.5" customHeight="1">
      <c r="A36" s="456" t="s">
        <v>81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132" t="s">
        <v>33</v>
      </c>
      <c r="P36" s="132"/>
      <c r="Q36" s="132"/>
      <c r="R36" s="132"/>
      <c r="S36" s="132"/>
      <c r="T36" s="132"/>
      <c r="U36" s="132"/>
      <c r="V36" s="133"/>
      <c r="W36" s="16"/>
    </row>
    <row r="37" spans="1:27" ht="54" customHeight="1">
      <c r="A37" s="11" t="s">
        <v>2</v>
      </c>
      <c r="B37" s="27" t="s">
        <v>5</v>
      </c>
      <c r="C37" s="143" t="s">
        <v>24</v>
      </c>
      <c r="D37" s="143"/>
      <c r="E37" s="143" t="s">
        <v>68</v>
      </c>
      <c r="F37" s="143"/>
      <c r="G37" s="143"/>
      <c r="H37" s="143" t="s">
        <v>42</v>
      </c>
      <c r="I37" s="143"/>
      <c r="J37" s="143"/>
      <c r="K37" s="143" t="s">
        <v>41</v>
      </c>
      <c r="L37" s="143"/>
      <c r="M37" s="143"/>
      <c r="N37" s="143"/>
      <c r="O37" s="144" t="s">
        <v>31</v>
      </c>
      <c r="P37" s="145"/>
      <c r="Q37" s="145"/>
      <c r="R37" s="146"/>
      <c r="S37" s="62" t="s">
        <v>75</v>
      </c>
      <c r="T37" s="62" t="s">
        <v>77</v>
      </c>
      <c r="U37" s="62" t="s">
        <v>76</v>
      </c>
      <c r="V37" s="63" t="s">
        <v>32</v>
      </c>
      <c r="W37" s="16"/>
    </row>
    <row r="38" spans="1:27" ht="116.25" customHeight="1">
      <c r="A38" s="85">
        <v>1</v>
      </c>
      <c r="B38" s="74" t="s">
        <v>135</v>
      </c>
      <c r="C38" s="134"/>
      <c r="D38" s="135"/>
      <c r="E38" s="109">
        <v>100</v>
      </c>
      <c r="F38" s="111"/>
      <c r="G38" s="110"/>
      <c r="H38" s="134">
        <v>0</v>
      </c>
      <c r="I38" s="136"/>
      <c r="J38" s="135"/>
      <c r="K38" s="134">
        <v>99</v>
      </c>
      <c r="L38" s="136"/>
      <c r="M38" s="136"/>
      <c r="N38" s="135"/>
      <c r="O38" s="140"/>
      <c r="P38" s="141"/>
      <c r="Q38" s="141"/>
      <c r="R38" s="142"/>
      <c r="S38" s="56"/>
      <c r="T38" s="56"/>
      <c r="U38" s="56"/>
      <c r="V38" s="58"/>
      <c r="W38" s="80">
        <f>K38+H38</f>
        <v>99</v>
      </c>
      <c r="Y38" s="8"/>
    </row>
    <row r="39" spans="1:27" ht="108" customHeight="1">
      <c r="A39" s="85">
        <v>2</v>
      </c>
      <c r="B39" s="74" t="s">
        <v>136</v>
      </c>
      <c r="C39" s="117"/>
      <c r="D39" s="118"/>
      <c r="E39" s="109">
        <v>2676</v>
      </c>
      <c r="F39" s="111"/>
      <c r="G39" s="110"/>
      <c r="H39" s="134">
        <v>0</v>
      </c>
      <c r="I39" s="136"/>
      <c r="J39" s="135"/>
      <c r="K39" s="134">
        <v>683</v>
      </c>
      <c r="L39" s="136"/>
      <c r="M39" s="136"/>
      <c r="N39" s="135"/>
      <c r="O39" s="140"/>
      <c r="P39" s="141"/>
      <c r="Q39" s="141"/>
      <c r="R39" s="142"/>
      <c r="S39" s="56"/>
      <c r="T39" s="56"/>
      <c r="U39" s="56"/>
      <c r="V39" s="58"/>
      <c r="W39" s="80">
        <f t="shared" ref="W39:W46" si="2">K39+H39</f>
        <v>683</v>
      </c>
      <c r="X39" s="2"/>
      <c r="Y39" s="7"/>
      <c r="Z39" s="7"/>
      <c r="AA39" s="9"/>
    </row>
    <row r="40" spans="1:27" ht="100.5" customHeight="1">
      <c r="A40" s="85">
        <v>3</v>
      </c>
      <c r="B40" s="74" t="s">
        <v>80</v>
      </c>
      <c r="C40" s="500"/>
      <c r="D40" s="501"/>
      <c r="E40" s="109">
        <v>178000</v>
      </c>
      <c r="F40" s="111"/>
      <c r="G40" s="110"/>
      <c r="H40" s="109">
        <v>920</v>
      </c>
      <c r="I40" s="111"/>
      <c r="J40" s="110"/>
      <c r="K40" s="109">
        <v>145221</v>
      </c>
      <c r="L40" s="111"/>
      <c r="M40" s="111"/>
      <c r="N40" s="110"/>
      <c r="O40" s="140"/>
      <c r="P40" s="141"/>
      <c r="Q40" s="141"/>
      <c r="R40" s="142"/>
      <c r="S40" s="56"/>
      <c r="T40" s="56"/>
      <c r="U40" s="57"/>
      <c r="V40" s="58"/>
      <c r="W40" s="92">
        <f>K40+H40</f>
        <v>146141</v>
      </c>
      <c r="X40" s="2"/>
      <c r="Y40" s="7"/>
      <c r="Z40" s="7"/>
      <c r="AA40" s="9"/>
    </row>
    <row r="41" spans="1:27" ht="65.099999999999994" customHeight="1">
      <c r="A41" s="85">
        <v>4</v>
      </c>
      <c r="B41" s="74" t="s">
        <v>56</v>
      </c>
      <c r="C41" s="117"/>
      <c r="D41" s="118"/>
      <c r="E41" s="109">
        <v>20920</v>
      </c>
      <c r="F41" s="111"/>
      <c r="G41" s="110"/>
      <c r="H41" s="109">
        <v>0</v>
      </c>
      <c r="I41" s="111"/>
      <c r="J41" s="110"/>
      <c r="K41" s="109">
        <v>15900</v>
      </c>
      <c r="L41" s="111"/>
      <c r="M41" s="111"/>
      <c r="N41" s="110"/>
      <c r="O41" s="132" t="s">
        <v>25</v>
      </c>
      <c r="P41" s="132"/>
      <c r="Q41" s="132"/>
      <c r="R41" s="132"/>
      <c r="S41" s="132"/>
      <c r="T41" s="132"/>
      <c r="U41" s="132"/>
      <c r="V41" s="133"/>
      <c r="W41" s="22">
        <f t="shared" si="2"/>
        <v>15900</v>
      </c>
      <c r="X41" s="2"/>
      <c r="Y41" s="7"/>
      <c r="Z41" s="7"/>
      <c r="AA41" s="9"/>
    </row>
    <row r="42" spans="1:27" ht="65.099999999999994" customHeight="1">
      <c r="A42" s="85">
        <v>5</v>
      </c>
      <c r="B42" s="74" t="s">
        <v>114</v>
      </c>
      <c r="C42" s="122">
        <v>11</v>
      </c>
      <c r="D42" s="123"/>
      <c r="E42" s="109">
        <v>1360</v>
      </c>
      <c r="F42" s="111"/>
      <c r="G42" s="110"/>
      <c r="H42" s="109">
        <v>11</v>
      </c>
      <c r="I42" s="111"/>
      <c r="J42" s="110"/>
      <c r="K42" s="109">
        <v>1360</v>
      </c>
      <c r="L42" s="111"/>
      <c r="M42" s="111"/>
      <c r="N42" s="110"/>
      <c r="O42" s="126" t="s">
        <v>107</v>
      </c>
      <c r="P42" s="127"/>
      <c r="Q42" s="127"/>
      <c r="R42" s="127"/>
      <c r="S42" s="127"/>
      <c r="T42" s="127"/>
      <c r="U42" s="127"/>
      <c r="V42" s="128"/>
      <c r="W42" s="22">
        <f>K42+H42</f>
        <v>1371</v>
      </c>
      <c r="X42" s="2"/>
      <c r="Y42" s="7"/>
      <c r="Z42" s="7"/>
      <c r="AA42" s="9"/>
    </row>
    <row r="43" spans="1:27" ht="65.099999999999994" customHeight="1">
      <c r="A43" s="85">
        <v>6</v>
      </c>
      <c r="B43" s="74" t="s">
        <v>115</v>
      </c>
      <c r="C43" s="122">
        <v>51</v>
      </c>
      <c r="D43" s="123"/>
      <c r="E43" s="109">
        <v>8288</v>
      </c>
      <c r="F43" s="111"/>
      <c r="G43" s="110"/>
      <c r="H43" s="109">
        <v>51</v>
      </c>
      <c r="I43" s="111"/>
      <c r="J43" s="110"/>
      <c r="K43" s="109">
        <v>8288</v>
      </c>
      <c r="L43" s="111"/>
      <c r="M43" s="111"/>
      <c r="N43" s="110"/>
      <c r="O43" s="126" t="s">
        <v>86</v>
      </c>
      <c r="P43" s="127"/>
      <c r="Q43" s="127"/>
      <c r="R43" s="127"/>
      <c r="S43" s="127"/>
      <c r="T43" s="127"/>
      <c r="U43" s="127"/>
      <c r="V43" s="128"/>
      <c r="W43" s="23">
        <f>K43+H43</f>
        <v>8339</v>
      </c>
      <c r="X43" s="2"/>
      <c r="Y43" s="7"/>
      <c r="Z43" s="7"/>
      <c r="AA43" s="9"/>
    </row>
    <row r="44" spans="1:27" ht="65.099999999999994" customHeight="1">
      <c r="A44" s="85">
        <v>7</v>
      </c>
      <c r="B44" s="74" t="s">
        <v>79</v>
      </c>
      <c r="C44" s="117"/>
      <c r="D44" s="118"/>
      <c r="E44" s="109">
        <v>9260</v>
      </c>
      <c r="F44" s="111"/>
      <c r="G44" s="110"/>
      <c r="H44" s="109">
        <v>0</v>
      </c>
      <c r="I44" s="111"/>
      <c r="J44" s="110"/>
      <c r="K44" s="109">
        <v>7980</v>
      </c>
      <c r="L44" s="111"/>
      <c r="M44" s="111"/>
      <c r="N44" s="110"/>
      <c r="O44" s="119" t="s">
        <v>87</v>
      </c>
      <c r="P44" s="120"/>
      <c r="Q44" s="120"/>
      <c r="R44" s="120"/>
      <c r="S44" s="120"/>
      <c r="T44" s="120"/>
      <c r="U44" s="120"/>
      <c r="V44" s="121"/>
      <c r="W44" s="22">
        <f t="shared" si="2"/>
        <v>7980</v>
      </c>
      <c r="X44" s="2"/>
      <c r="Y44" s="7"/>
      <c r="Z44" s="7"/>
      <c r="AA44" s="9"/>
    </row>
    <row r="45" spans="1:27" ht="65.099999999999994" customHeight="1">
      <c r="A45" s="85">
        <v>8</v>
      </c>
      <c r="B45" s="74" t="s">
        <v>98</v>
      </c>
      <c r="C45" s="122"/>
      <c r="D45" s="123"/>
      <c r="E45" s="109">
        <v>2938</v>
      </c>
      <c r="F45" s="111"/>
      <c r="G45" s="110"/>
      <c r="H45" s="109">
        <v>0</v>
      </c>
      <c r="I45" s="111"/>
      <c r="J45" s="110"/>
      <c r="K45" s="109">
        <v>400</v>
      </c>
      <c r="L45" s="111"/>
      <c r="M45" s="111"/>
      <c r="N45" s="110"/>
      <c r="O45" s="124" t="s">
        <v>96</v>
      </c>
      <c r="P45" s="124"/>
      <c r="Q45" s="124"/>
      <c r="R45" s="124"/>
      <c r="S45" s="124"/>
      <c r="T45" s="124"/>
      <c r="U45" s="124"/>
      <c r="V45" s="125"/>
      <c r="W45" s="22">
        <f t="shared" si="2"/>
        <v>400</v>
      </c>
      <c r="X45" s="2"/>
      <c r="Y45" s="7"/>
      <c r="Z45" s="7"/>
      <c r="AA45" s="9"/>
    </row>
    <row r="46" spans="1:27" ht="65.099999999999994" customHeight="1">
      <c r="A46" s="85">
        <v>9</v>
      </c>
      <c r="B46" s="74" t="s">
        <v>99</v>
      </c>
      <c r="C46" s="109"/>
      <c r="D46" s="110"/>
      <c r="E46" s="109">
        <v>1523</v>
      </c>
      <c r="F46" s="111"/>
      <c r="G46" s="110"/>
      <c r="H46" s="109">
        <v>0</v>
      </c>
      <c r="I46" s="111"/>
      <c r="J46" s="110"/>
      <c r="K46" s="109">
        <v>200</v>
      </c>
      <c r="L46" s="111"/>
      <c r="M46" s="111"/>
      <c r="N46" s="110"/>
      <c r="O46" s="399"/>
      <c r="P46" s="399"/>
      <c r="Q46" s="399"/>
      <c r="R46" s="399"/>
      <c r="S46" s="399"/>
      <c r="T46" s="399"/>
      <c r="U46" s="399"/>
      <c r="V46" s="400"/>
      <c r="W46" s="22">
        <f t="shared" si="2"/>
        <v>200</v>
      </c>
      <c r="X46" s="2"/>
      <c r="Y46" s="7"/>
      <c r="Z46" s="7"/>
      <c r="AA46" s="9"/>
    </row>
    <row r="47" spans="1:27" ht="69" customHeight="1">
      <c r="A47" s="488" t="s">
        <v>90</v>
      </c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9"/>
      <c r="Q47" s="489"/>
      <c r="R47" s="489"/>
      <c r="S47" s="489"/>
      <c r="T47" s="489"/>
      <c r="U47" s="489"/>
      <c r="V47" s="490"/>
      <c r="W47" s="21"/>
      <c r="X47" s="2"/>
      <c r="Y47" s="7">
        <f>14050+100</f>
        <v>14150</v>
      </c>
      <c r="Z47" s="7"/>
      <c r="AA47" s="9"/>
    </row>
    <row r="48" spans="1:27" s="44" customFormat="1" ht="54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  <c r="W48" s="41"/>
      <c r="X48" s="42"/>
      <c r="Y48" s="42"/>
      <c r="Z48" s="42"/>
      <c r="AA48" s="43"/>
    </row>
    <row r="49" spans="1:22" ht="97.5" customHeight="1">
      <c r="A49" s="96" t="s">
        <v>88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8"/>
      <c r="O49" s="99" t="s">
        <v>18</v>
      </c>
      <c r="P49" s="99"/>
      <c r="Q49" s="99"/>
      <c r="R49" s="99"/>
      <c r="S49" s="99"/>
      <c r="T49" s="99"/>
      <c r="U49" s="99"/>
      <c r="V49" s="100"/>
    </row>
    <row r="50" spans="1:22" ht="63.75" customHeight="1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452" t="s">
        <v>67</v>
      </c>
      <c r="P50" s="452"/>
      <c r="Q50" s="452"/>
      <c r="R50" s="452"/>
      <c r="S50" s="452"/>
      <c r="T50" s="452"/>
      <c r="U50" s="452"/>
      <c r="V50" s="453"/>
    </row>
    <row r="51" spans="1:22" ht="45" customHeight="1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452"/>
      <c r="P51" s="452"/>
      <c r="Q51" s="452"/>
      <c r="R51" s="452"/>
      <c r="S51" s="452"/>
      <c r="T51" s="452"/>
      <c r="U51" s="452"/>
      <c r="V51" s="453"/>
    </row>
    <row r="52" spans="1:22" ht="45" customHeight="1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452"/>
      <c r="P52" s="452"/>
      <c r="Q52" s="452"/>
      <c r="R52" s="452"/>
      <c r="S52" s="452"/>
      <c r="T52" s="452"/>
      <c r="U52" s="452"/>
      <c r="V52" s="453"/>
    </row>
    <row r="53" spans="1:22" ht="88.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/>
      <c r="P53" s="452"/>
      <c r="Q53" s="452"/>
      <c r="R53" s="452"/>
      <c r="S53" s="452"/>
      <c r="T53" s="452"/>
      <c r="U53" s="452"/>
      <c r="V53" s="453"/>
    </row>
    <row r="54" spans="1:22" ht="123.75" customHeight="1" thickBot="1">
      <c r="A54" s="103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454"/>
      <c r="P54" s="454"/>
      <c r="Q54" s="454"/>
      <c r="R54" s="454"/>
      <c r="S54" s="454"/>
      <c r="T54" s="454"/>
      <c r="U54" s="454"/>
      <c r="V54" s="455"/>
    </row>
    <row r="57" spans="1:22">
      <c r="S57" s="28"/>
      <c r="T57" s="28"/>
      <c r="U57" s="28"/>
    </row>
    <row r="58" spans="1:22">
      <c r="G58" s="88"/>
      <c r="H58" s="89"/>
      <c r="I58" s="89"/>
      <c r="J58" s="89"/>
      <c r="S58" s="28"/>
      <c r="T58" s="28"/>
      <c r="U58" s="29"/>
    </row>
    <row r="59" spans="1:22">
      <c r="G59" s="88"/>
      <c r="H59" s="89"/>
      <c r="I59" s="89"/>
      <c r="J59" s="89"/>
      <c r="S59" s="28"/>
      <c r="T59" s="28"/>
      <c r="U59" s="30"/>
    </row>
    <row r="60" spans="1:22">
      <c r="G60" s="88"/>
      <c r="H60" s="89"/>
      <c r="I60" s="89"/>
      <c r="J60" s="89"/>
      <c r="S60" s="28"/>
      <c r="T60" s="28"/>
      <c r="U60" s="28"/>
    </row>
    <row r="61" spans="1:22">
      <c r="G61" s="88"/>
      <c r="H61" s="89"/>
      <c r="I61" s="89"/>
      <c r="J61" s="89"/>
    </row>
    <row r="62" spans="1:22">
      <c r="G62" s="88"/>
      <c r="H62" s="89"/>
      <c r="I62" s="89"/>
      <c r="J62" s="89"/>
    </row>
    <row r="63" spans="1:22">
      <c r="G63" s="88"/>
      <c r="H63" s="89"/>
      <c r="I63" s="89"/>
      <c r="J63" s="89"/>
    </row>
    <row r="64" spans="1:22">
      <c r="G64" s="88"/>
      <c r="H64" s="89"/>
      <c r="I64" s="89"/>
      <c r="J64" s="89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 s="3" customFormat="1">
      <c r="A67"/>
      <c r="B67" s="15"/>
      <c r="G67" s="88"/>
      <c r="H67" s="89"/>
      <c r="I67" s="89"/>
      <c r="J67" s="89"/>
      <c r="W67" s="20"/>
      <c r="X67"/>
      <c r="Y67"/>
      <c r="Z67"/>
      <c r="AA67"/>
      <c r="AB67"/>
      <c r="AC67"/>
      <c r="AD67"/>
      <c r="AE67"/>
    </row>
    <row r="68" spans="1:31" s="3" customFormat="1">
      <c r="A68"/>
      <c r="B68" s="15"/>
      <c r="G68" s="88"/>
      <c r="H68" s="89"/>
      <c r="I68" s="89"/>
      <c r="J68" s="89"/>
      <c r="W68" s="20"/>
      <c r="X68"/>
      <c r="Y68"/>
      <c r="Z68"/>
      <c r="AA68"/>
      <c r="AB68"/>
      <c r="AC68"/>
      <c r="AD68"/>
      <c r="AE68"/>
    </row>
    <row r="69" spans="1:31" s="3" customFormat="1">
      <c r="A69"/>
      <c r="B69" s="15"/>
      <c r="G69" s="88"/>
      <c r="H69" s="89"/>
      <c r="I69" s="89"/>
      <c r="J69" s="89"/>
      <c r="W69" s="20"/>
      <c r="X69"/>
      <c r="Y69"/>
      <c r="Z69"/>
      <c r="AA69"/>
      <c r="AB69"/>
      <c r="AC69"/>
      <c r="AD69"/>
      <c r="AE69"/>
    </row>
    <row r="70" spans="1:31" s="3" customFormat="1">
      <c r="A70"/>
      <c r="B70" s="15"/>
      <c r="G70" s="88"/>
      <c r="H70" s="89"/>
      <c r="I70" s="89"/>
      <c r="J70" s="89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J75" s="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J76" s="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J77" s="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N104" s="3">
        <v>24</v>
      </c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N105" s="3">
        <v>22</v>
      </c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N106" s="3">
        <v>19</v>
      </c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22</v>
      </c>
      <c r="W107" s="20"/>
      <c r="X107"/>
      <c r="Y107"/>
      <c r="Z107"/>
      <c r="AA107"/>
      <c r="AB107"/>
      <c r="AC107"/>
      <c r="AD107"/>
      <c r="AE107"/>
    </row>
  </sheetData>
  <autoFilter ref="A6:AE47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48:V48"/>
    <mergeCell ref="A49:N49"/>
    <mergeCell ref="O49:V49"/>
    <mergeCell ref="A50:N54"/>
    <mergeCell ref="O50:V54"/>
    <mergeCell ref="C46:D46"/>
    <mergeCell ref="E46:G46"/>
    <mergeCell ref="H46:J46"/>
    <mergeCell ref="K46:N46"/>
    <mergeCell ref="O46:V46"/>
    <mergeCell ref="A47:V47"/>
    <mergeCell ref="C44:D44"/>
    <mergeCell ref="E44:G44"/>
    <mergeCell ref="H44:J44"/>
    <mergeCell ref="K44:N44"/>
    <mergeCell ref="O44:V44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V42"/>
    <mergeCell ref="C43:D43"/>
    <mergeCell ref="E43:G43"/>
    <mergeCell ref="H43:J43"/>
    <mergeCell ref="K43:N43"/>
    <mergeCell ref="O43:V43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V41"/>
    <mergeCell ref="C38:D38"/>
    <mergeCell ref="E38:G38"/>
    <mergeCell ref="H38:J38"/>
    <mergeCell ref="K38:N38"/>
    <mergeCell ref="O38:R38"/>
    <mergeCell ref="C39:D39"/>
    <mergeCell ref="E39:G39"/>
    <mergeCell ref="H39:J39"/>
    <mergeCell ref="K39:N39"/>
    <mergeCell ref="O39:R39"/>
    <mergeCell ref="C37:D37"/>
    <mergeCell ref="E37:G37"/>
    <mergeCell ref="H37:J37"/>
    <mergeCell ref="K37:N37"/>
    <mergeCell ref="O37:R37"/>
    <mergeCell ref="V32:V33"/>
    <mergeCell ref="L34:L35"/>
    <mergeCell ref="M34:R35"/>
    <mergeCell ref="T34:U34"/>
    <mergeCell ref="F35:G35"/>
    <mergeCell ref="L30:V30"/>
    <mergeCell ref="M31:R31"/>
    <mergeCell ref="W31:W34"/>
    <mergeCell ref="L32:L33"/>
    <mergeCell ref="M32:R33"/>
    <mergeCell ref="S32:S33"/>
    <mergeCell ref="T32:U33"/>
    <mergeCell ref="A36:N36"/>
    <mergeCell ref="O36:V36"/>
    <mergeCell ref="A35:B35"/>
    <mergeCell ref="W18:W19"/>
    <mergeCell ref="L20:L24"/>
    <mergeCell ref="M20:R23"/>
    <mergeCell ref="S20:S23"/>
    <mergeCell ref="T20:U23"/>
    <mergeCell ref="V20:V23"/>
    <mergeCell ref="W20:W24"/>
    <mergeCell ref="M24:R29"/>
    <mergeCell ref="S24:S29"/>
    <mergeCell ref="T24:U29"/>
    <mergeCell ref="V24:V29"/>
    <mergeCell ref="L25:L29"/>
    <mergeCell ref="W25:W29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</mergeCells>
  <printOptions horizontalCentered="1"/>
  <pageMargins left="0.25" right="0.25" top="0" bottom="2.25" header="0" footer="0"/>
  <pageSetup paperSize="5" scale="23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AC22-3731-4DED-A50B-D51AAD787E43}">
  <sheetPr>
    <pageSetUpPr fitToPage="1"/>
  </sheetPr>
  <dimension ref="A1:AH107"/>
  <sheetViews>
    <sheetView rightToLeft="1" tabSelected="1" view="pageBreakPreview" zoomScale="40" zoomScaleNormal="110" zoomScaleSheetLayoutView="40" workbookViewId="0">
      <selection activeCell="I12" sqref="I12"/>
    </sheetView>
  </sheetViews>
  <sheetFormatPr defaultRowHeight="42.75"/>
  <cols>
    <col min="1" max="1" width="11.85546875" customWidth="1"/>
    <col min="2" max="2" width="41.7109375" style="15" customWidth="1"/>
    <col min="3" max="3" width="10.140625" style="3" customWidth="1"/>
    <col min="4" max="4" width="15.5703125" style="3" customWidth="1"/>
    <col min="5" max="5" width="10.28515625" style="3" customWidth="1"/>
    <col min="6" max="6" width="12.140625" style="3" customWidth="1"/>
    <col min="7" max="7" width="32.28515625" style="3" customWidth="1"/>
    <col min="8" max="8" width="11.42578125" style="3" customWidth="1"/>
    <col min="9" max="9" width="13" style="3" customWidth="1"/>
    <col min="10" max="10" width="11.42578125" style="4" customWidth="1"/>
    <col min="11" max="11" width="10.42578125" style="3" customWidth="1"/>
    <col min="12" max="15" width="11.7109375" style="3" customWidth="1"/>
    <col min="16" max="16" width="10.7109375" style="3" customWidth="1"/>
    <col min="17" max="17" width="13.5703125" style="3" customWidth="1"/>
    <col min="18" max="18" width="33.28515625" style="3" customWidth="1"/>
    <col min="19" max="19" width="27.85546875" style="3" customWidth="1"/>
    <col min="20" max="20" width="32.85546875" style="3" customWidth="1"/>
    <col min="21" max="21" width="38.5703125" style="3" customWidth="1"/>
    <col min="22" max="22" width="36.5703125" style="3" customWidth="1"/>
    <col min="23" max="23" width="25.140625" style="20" customWidth="1"/>
    <col min="25" max="25" width="13.42578125" customWidth="1"/>
    <col min="26" max="31" width="18.5703125" customWidth="1"/>
    <col min="32" max="32" width="19.7109375" customWidth="1"/>
    <col min="33" max="33" width="13.5703125" customWidth="1"/>
    <col min="34" max="34" width="19.140625" customWidth="1"/>
  </cols>
  <sheetData>
    <row r="1" spans="1:34" ht="33" customHeight="1">
      <c r="A1" s="290" t="s">
        <v>50</v>
      </c>
      <c r="B1" s="291"/>
      <c r="C1" s="291"/>
      <c r="D1" s="291"/>
      <c r="E1" s="291"/>
      <c r="F1" s="294" t="s">
        <v>22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481" t="s">
        <v>323</v>
      </c>
      <c r="S1" s="297" t="s">
        <v>322</v>
      </c>
      <c r="T1" s="297"/>
      <c r="U1" s="462" t="s">
        <v>324</v>
      </c>
      <c r="V1" s="463"/>
      <c r="W1" s="16"/>
    </row>
    <row r="2" spans="1:34" ht="36.75" customHeight="1">
      <c r="A2" s="292"/>
      <c r="B2" s="293"/>
      <c r="C2" s="293"/>
      <c r="D2" s="293"/>
      <c r="E2" s="293"/>
      <c r="F2" s="304" t="s">
        <v>52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482"/>
      <c r="S2" s="299"/>
      <c r="T2" s="299"/>
      <c r="U2" s="464"/>
      <c r="V2" s="465"/>
      <c r="W2" s="16"/>
    </row>
    <row r="3" spans="1:34" ht="36" customHeight="1">
      <c r="A3" s="292"/>
      <c r="B3" s="293"/>
      <c r="C3" s="293"/>
      <c r="D3" s="293"/>
      <c r="E3" s="293"/>
      <c r="F3" s="304" t="s">
        <v>51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482"/>
      <c r="S3" s="299"/>
      <c r="T3" s="299"/>
      <c r="U3" s="464"/>
      <c r="V3" s="465"/>
      <c r="W3" s="16"/>
      <c r="Y3">
        <f>20780-20000</f>
        <v>780</v>
      </c>
    </row>
    <row r="4" spans="1:34" ht="54.75" customHeight="1">
      <c r="A4" s="292"/>
      <c r="B4" s="293"/>
      <c r="C4" s="293"/>
      <c r="D4" s="293"/>
      <c r="E4" s="293"/>
      <c r="F4" s="306" t="s">
        <v>49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8" t="s">
        <v>23</v>
      </c>
      <c r="S4" s="309"/>
      <c r="T4" s="309" t="s">
        <v>83</v>
      </c>
      <c r="U4" s="309"/>
      <c r="V4" s="45" t="s">
        <v>84</v>
      </c>
      <c r="W4" s="17"/>
    </row>
    <row r="5" spans="1:34" ht="71.25" customHeight="1">
      <c r="A5" s="288" t="s">
        <v>2</v>
      </c>
      <c r="B5" s="284" t="s">
        <v>11</v>
      </c>
      <c r="C5" s="285" t="s">
        <v>29</v>
      </c>
      <c r="D5" s="285" t="s">
        <v>0</v>
      </c>
      <c r="E5" s="285" t="s">
        <v>1</v>
      </c>
      <c r="F5" s="285" t="s">
        <v>2</v>
      </c>
      <c r="G5" s="284" t="s">
        <v>30</v>
      </c>
      <c r="H5" s="285" t="s">
        <v>29</v>
      </c>
      <c r="I5" s="285" t="s">
        <v>3</v>
      </c>
      <c r="J5" s="285" t="s">
        <v>10</v>
      </c>
      <c r="K5" s="286" t="s">
        <v>4</v>
      </c>
      <c r="L5" s="264" t="s">
        <v>20</v>
      </c>
      <c r="M5" s="287"/>
      <c r="N5" s="287"/>
      <c r="O5" s="265"/>
      <c r="P5" s="264" t="s">
        <v>34</v>
      </c>
      <c r="Q5" s="265"/>
      <c r="R5" s="266" t="s">
        <v>47</v>
      </c>
      <c r="S5" s="267"/>
      <c r="T5" s="268" t="s">
        <v>35</v>
      </c>
      <c r="U5" s="269"/>
      <c r="V5" s="46" t="s">
        <v>325</v>
      </c>
      <c r="W5" s="16"/>
      <c r="AA5" s="10"/>
      <c r="AB5" s="10"/>
      <c r="AC5" s="10"/>
      <c r="AD5" s="10"/>
      <c r="AE5" s="10"/>
    </row>
    <row r="6" spans="1:34" ht="43.5" customHeight="1">
      <c r="A6" s="289"/>
      <c r="B6" s="284"/>
      <c r="C6" s="285"/>
      <c r="D6" s="285"/>
      <c r="E6" s="285"/>
      <c r="F6" s="285"/>
      <c r="G6" s="284"/>
      <c r="H6" s="285"/>
      <c r="I6" s="285"/>
      <c r="J6" s="285"/>
      <c r="K6" s="286"/>
      <c r="L6" s="270" t="s">
        <v>89</v>
      </c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8"/>
    </row>
    <row r="7" spans="1:34" ht="51.95" customHeight="1">
      <c r="A7" s="84">
        <v>1</v>
      </c>
      <c r="B7" s="27" t="s">
        <v>38</v>
      </c>
      <c r="C7" s="40"/>
      <c r="D7" s="40"/>
      <c r="E7" s="40"/>
      <c r="F7" s="40">
        <v>1</v>
      </c>
      <c r="G7" s="65" t="s">
        <v>72</v>
      </c>
      <c r="H7" s="40" t="s">
        <v>111</v>
      </c>
      <c r="I7" s="40"/>
      <c r="J7" s="40"/>
      <c r="K7" s="40"/>
      <c r="L7" s="411" t="s">
        <v>2</v>
      </c>
      <c r="M7" s="412" t="s">
        <v>28</v>
      </c>
      <c r="N7" s="413"/>
      <c r="O7" s="413"/>
      <c r="P7" s="413"/>
      <c r="Q7" s="413"/>
      <c r="R7" s="413"/>
      <c r="S7" s="416" t="s">
        <v>26</v>
      </c>
      <c r="T7" s="418" t="s">
        <v>27</v>
      </c>
      <c r="U7" s="418"/>
      <c r="V7" s="448" t="s">
        <v>82</v>
      </c>
      <c r="W7" s="19"/>
    </row>
    <row r="8" spans="1:34" ht="51.95" customHeight="1">
      <c r="A8" s="84">
        <v>2</v>
      </c>
      <c r="B8" s="27" t="s">
        <v>12</v>
      </c>
      <c r="C8" s="40">
        <f t="shared" ref="C8" si="0">E8+D8</f>
        <v>1</v>
      </c>
      <c r="D8" s="40"/>
      <c r="E8" s="40">
        <v>1</v>
      </c>
      <c r="F8" s="40">
        <v>2</v>
      </c>
      <c r="G8" s="24" t="s">
        <v>74</v>
      </c>
      <c r="H8" s="40">
        <f t="shared" ref="H8" si="1">K8+J8+I8</f>
        <v>1</v>
      </c>
      <c r="I8" s="40">
        <v>1</v>
      </c>
      <c r="J8" s="40"/>
      <c r="K8" s="40"/>
      <c r="L8" s="411"/>
      <c r="M8" s="414"/>
      <c r="N8" s="415"/>
      <c r="O8" s="415"/>
      <c r="P8" s="415"/>
      <c r="Q8" s="415"/>
      <c r="R8" s="415"/>
      <c r="S8" s="417"/>
      <c r="T8" s="419"/>
      <c r="U8" s="419"/>
      <c r="V8" s="449"/>
      <c r="W8" s="19"/>
      <c r="AA8" s="6"/>
      <c r="AB8" s="6"/>
      <c r="AC8" s="6"/>
      <c r="AD8" s="6"/>
      <c r="AE8" s="6"/>
    </row>
    <row r="9" spans="1:34" ht="51.95" customHeight="1">
      <c r="A9" s="84">
        <v>3</v>
      </c>
      <c r="B9" s="27" t="s">
        <v>100</v>
      </c>
      <c r="C9" s="40">
        <v>1</v>
      </c>
      <c r="D9" s="40">
        <v>1</v>
      </c>
      <c r="E9" s="40"/>
      <c r="F9" s="40">
        <v>3</v>
      </c>
      <c r="G9" s="66" t="s">
        <v>91</v>
      </c>
      <c r="H9" s="81">
        <v>1</v>
      </c>
      <c r="I9" s="81">
        <v>1</v>
      </c>
      <c r="J9" s="40"/>
      <c r="K9" s="40"/>
      <c r="L9" s="186">
        <v>1</v>
      </c>
      <c r="M9" s="250" t="s">
        <v>106</v>
      </c>
      <c r="N9" s="250"/>
      <c r="O9" s="250"/>
      <c r="P9" s="250"/>
      <c r="Q9" s="250"/>
      <c r="R9" s="250"/>
      <c r="S9" s="410" t="s">
        <v>57</v>
      </c>
      <c r="T9" s="348">
        <v>0</v>
      </c>
      <c r="U9" s="348"/>
      <c r="V9" s="445">
        <v>492480</v>
      </c>
      <c r="X9" s="5"/>
      <c r="Y9" s="5">
        <v>3000</v>
      </c>
      <c r="Z9" s="5"/>
    </row>
    <row r="10" spans="1:34" ht="51.95" customHeight="1">
      <c r="A10" s="84">
        <v>4</v>
      </c>
      <c r="B10" s="27" t="s">
        <v>64</v>
      </c>
      <c r="C10" s="40">
        <v>1</v>
      </c>
      <c r="D10" s="40">
        <v>1</v>
      </c>
      <c r="E10" s="40"/>
      <c r="F10" s="40">
        <v>4</v>
      </c>
      <c r="G10" s="66" t="s">
        <v>110</v>
      </c>
      <c r="H10" s="81">
        <v>1</v>
      </c>
      <c r="I10" s="81">
        <v>1</v>
      </c>
      <c r="J10" s="40"/>
      <c r="K10" s="40"/>
      <c r="L10" s="186"/>
      <c r="M10" s="250"/>
      <c r="N10" s="250"/>
      <c r="O10" s="250"/>
      <c r="P10" s="250"/>
      <c r="Q10" s="250"/>
      <c r="R10" s="250"/>
      <c r="S10" s="410"/>
      <c r="T10" s="348"/>
      <c r="U10" s="348"/>
      <c r="V10" s="447"/>
      <c r="W10" s="19"/>
      <c r="AA10" s="6"/>
      <c r="AB10" s="6"/>
      <c r="AC10" s="6"/>
      <c r="AD10" s="6"/>
      <c r="AE10" s="6"/>
    </row>
    <row r="11" spans="1:34" ht="60" customHeight="1">
      <c r="A11" s="84">
        <v>5</v>
      </c>
      <c r="B11" s="27" t="s">
        <v>61</v>
      </c>
      <c r="C11" s="40">
        <f>E11+D11</f>
        <v>1</v>
      </c>
      <c r="D11" s="40">
        <v>1</v>
      </c>
      <c r="E11" s="40"/>
      <c r="F11" s="40">
        <v>5</v>
      </c>
      <c r="G11" s="66" t="s">
        <v>13</v>
      </c>
      <c r="H11" s="81">
        <v>6</v>
      </c>
      <c r="I11" s="81">
        <v>1</v>
      </c>
      <c r="J11" s="40">
        <v>1</v>
      </c>
      <c r="K11" s="40"/>
      <c r="L11" s="186">
        <v>2</v>
      </c>
      <c r="M11" s="390" t="s">
        <v>297</v>
      </c>
      <c r="N11" s="391"/>
      <c r="O11" s="391"/>
      <c r="P11" s="391"/>
      <c r="Q11" s="391"/>
      <c r="R11" s="392"/>
      <c r="S11" s="160" t="s">
        <v>57</v>
      </c>
      <c r="T11" s="360">
        <v>0</v>
      </c>
      <c r="U11" s="361"/>
      <c r="V11" s="445">
        <v>242735</v>
      </c>
      <c r="W11" s="236">
        <f>V11+T11</f>
        <v>242735</v>
      </c>
      <c r="AA11" s="6"/>
      <c r="AB11" s="6"/>
      <c r="AC11" s="6"/>
      <c r="AD11" s="6"/>
      <c r="AE11" s="6"/>
    </row>
    <row r="12" spans="1:34" ht="60" customHeight="1">
      <c r="A12" s="84">
        <v>6</v>
      </c>
      <c r="B12" s="69" t="s">
        <v>39</v>
      </c>
      <c r="C12" s="40">
        <v>1</v>
      </c>
      <c r="D12" s="40">
        <v>1</v>
      </c>
      <c r="E12" s="40"/>
      <c r="F12" s="40">
        <v>6</v>
      </c>
      <c r="G12" s="24" t="s">
        <v>71</v>
      </c>
      <c r="H12" s="40">
        <v>1</v>
      </c>
      <c r="I12" s="40">
        <v>1</v>
      </c>
      <c r="J12" s="40"/>
      <c r="K12" s="40"/>
      <c r="L12" s="186"/>
      <c r="M12" s="393"/>
      <c r="N12" s="394"/>
      <c r="O12" s="394"/>
      <c r="P12" s="394"/>
      <c r="Q12" s="394"/>
      <c r="R12" s="395"/>
      <c r="S12" s="221"/>
      <c r="T12" s="362"/>
      <c r="U12" s="363"/>
      <c r="V12" s="446"/>
      <c r="W12" s="236"/>
      <c r="Z12" s="237" t="s">
        <v>112</v>
      </c>
      <c r="AA12" s="238"/>
      <c r="AB12" s="238"/>
      <c r="AC12" s="238"/>
      <c r="AD12" s="238"/>
      <c r="AE12" s="239"/>
      <c r="AF12" s="243" t="s">
        <v>57</v>
      </c>
      <c r="AG12" s="200">
        <v>7350</v>
      </c>
      <c r="AH12" s="201"/>
    </row>
    <row r="13" spans="1:34" ht="60" customHeight="1">
      <c r="A13" s="84">
        <v>7</v>
      </c>
      <c r="B13" s="27" t="s">
        <v>16</v>
      </c>
      <c r="C13" s="40">
        <v>3</v>
      </c>
      <c r="D13" s="40">
        <v>2</v>
      </c>
      <c r="E13" s="40">
        <v>1</v>
      </c>
      <c r="F13" s="40">
        <v>7</v>
      </c>
      <c r="G13" s="66" t="s">
        <v>108</v>
      </c>
      <c r="H13" s="81">
        <v>1</v>
      </c>
      <c r="I13" s="81"/>
      <c r="J13" s="81"/>
      <c r="K13" s="40">
        <v>1</v>
      </c>
      <c r="L13" s="186"/>
      <c r="M13" s="393"/>
      <c r="N13" s="394"/>
      <c r="O13" s="394"/>
      <c r="P13" s="394"/>
      <c r="Q13" s="394"/>
      <c r="R13" s="395"/>
      <c r="S13" s="221"/>
      <c r="T13" s="362"/>
      <c r="U13" s="363"/>
      <c r="V13" s="446"/>
      <c r="W13" s="236"/>
      <c r="Z13" s="240"/>
      <c r="AA13" s="241"/>
      <c r="AB13" s="241"/>
      <c r="AC13" s="241"/>
      <c r="AD13" s="241"/>
      <c r="AE13" s="242"/>
      <c r="AF13" s="244"/>
      <c r="AG13" s="204"/>
      <c r="AH13" s="205"/>
    </row>
    <row r="14" spans="1:34" ht="105" customHeight="1">
      <c r="A14" s="84">
        <v>8</v>
      </c>
      <c r="B14" s="27" t="s">
        <v>6</v>
      </c>
      <c r="C14" s="40">
        <v>1</v>
      </c>
      <c r="D14" s="40">
        <v>1</v>
      </c>
      <c r="E14" s="40"/>
      <c r="F14" s="40">
        <v>8</v>
      </c>
      <c r="G14" s="24" t="s">
        <v>109</v>
      </c>
      <c r="H14" s="40">
        <v>2</v>
      </c>
      <c r="I14" s="40">
        <v>1</v>
      </c>
      <c r="J14" s="40">
        <v>1</v>
      </c>
      <c r="K14" s="40"/>
      <c r="L14" s="186"/>
      <c r="M14" s="396"/>
      <c r="N14" s="397"/>
      <c r="O14" s="397"/>
      <c r="P14" s="397"/>
      <c r="Q14" s="397"/>
      <c r="R14" s="398"/>
      <c r="S14" s="161"/>
      <c r="T14" s="364"/>
      <c r="U14" s="365"/>
      <c r="V14" s="447"/>
      <c r="W14" s="236"/>
    </row>
    <row r="15" spans="1:34" ht="51.95" customHeight="1">
      <c r="A15" s="84">
        <v>9</v>
      </c>
      <c r="B15" s="68" t="s">
        <v>66</v>
      </c>
      <c r="C15" s="40">
        <v>3</v>
      </c>
      <c r="D15" s="40">
        <v>1</v>
      </c>
      <c r="E15" s="40">
        <v>2</v>
      </c>
      <c r="F15" s="40">
        <v>9</v>
      </c>
      <c r="G15" s="24" t="s">
        <v>69</v>
      </c>
      <c r="H15" s="40">
        <v>3</v>
      </c>
      <c r="I15" s="40">
        <v>2</v>
      </c>
      <c r="J15" s="40"/>
      <c r="K15" s="40">
        <v>1</v>
      </c>
      <c r="L15" s="40">
        <v>3</v>
      </c>
      <c r="M15" s="245" t="s">
        <v>126</v>
      </c>
      <c r="N15" s="246"/>
      <c r="O15" s="246"/>
      <c r="P15" s="246"/>
      <c r="Q15" s="246"/>
      <c r="R15" s="247"/>
      <c r="S15" s="87" t="s">
        <v>85</v>
      </c>
      <c r="T15" s="346">
        <v>0</v>
      </c>
      <c r="U15" s="347"/>
      <c r="V15" s="82">
        <v>51330</v>
      </c>
      <c r="W15" s="39">
        <f>V15+T15</f>
        <v>51330</v>
      </c>
    </row>
    <row r="16" spans="1:34" ht="49.5" customHeight="1">
      <c r="A16" s="450">
        <v>10</v>
      </c>
      <c r="B16" s="436" t="s">
        <v>113</v>
      </c>
      <c r="C16" s="152">
        <v>1</v>
      </c>
      <c r="D16" s="152">
        <v>1</v>
      </c>
      <c r="E16" s="152"/>
      <c r="F16" s="152">
        <v>10</v>
      </c>
      <c r="G16" s="438" t="s">
        <v>70</v>
      </c>
      <c r="H16" s="152">
        <v>2</v>
      </c>
      <c r="I16" s="152">
        <v>1</v>
      </c>
      <c r="J16" s="152"/>
      <c r="K16" s="152">
        <v>1</v>
      </c>
      <c r="L16" s="152">
        <v>4</v>
      </c>
      <c r="M16" s="431" t="s">
        <v>328</v>
      </c>
      <c r="N16" s="432"/>
      <c r="O16" s="432"/>
      <c r="P16" s="432"/>
      <c r="Q16" s="432"/>
      <c r="R16" s="433"/>
      <c r="S16" s="458" t="s">
        <v>85</v>
      </c>
      <c r="T16" s="360">
        <v>1120</v>
      </c>
      <c r="U16" s="361"/>
      <c r="V16" s="445">
        <v>64254</v>
      </c>
      <c r="W16" s="47">
        <f>V16+T16</f>
        <v>65374</v>
      </c>
    </row>
    <row r="17" spans="1:27" ht="53.25" customHeight="1">
      <c r="A17" s="451"/>
      <c r="B17" s="437"/>
      <c r="C17" s="153"/>
      <c r="D17" s="153"/>
      <c r="E17" s="153"/>
      <c r="F17" s="153"/>
      <c r="G17" s="439"/>
      <c r="H17" s="153"/>
      <c r="I17" s="153"/>
      <c r="J17" s="153"/>
      <c r="K17" s="153"/>
      <c r="L17" s="153"/>
      <c r="M17" s="144"/>
      <c r="N17" s="145"/>
      <c r="O17" s="145"/>
      <c r="P17" s="145"/>
      <c r="Q17" s="145"/>
      <c r="R17" s="146"/>
      <c r="S17" s="459"/>
      <c r="T17" s="364"/>
      <c r="U17" s="365"/>
      <c r="V17" s="447"/>
      <c r="W17" s="47"/>
    </row>
    <row r="18" spans="1:27" ht="72.75" customHeight="1">
      <c r="A18" s="84">
        <v>11</v>
      </c>
      <c r="B18" s="27" t="s">
        <v>21</v>
      </c>
      <c r="C18" s="40">
        <v>2</v>
      </c>
      <c r="D18" s="40">
        <v>2</v>
      </c>
      <c r="E18" s="40"/>
      <c r="F18" s="40">
        <v>11</v>
      </c>
      <c r="G18" s="27" t="s">
        <v>102</v>
      </c>
      <c r="H18" s="40">
        <v>3</v>
      </c>
      <c r="I18" s="40">
        <v>3</v>
      </c>
      <c r="J18" s="40"/>
      <c r="K18" s="40"/>
      <c r="L18" s="186">
        <v>5</v>
      </c>
      <c r="M18" s="475" t="s">
        <v>327</v>
      </c>
      <c r="N18" s="476"/>
      <c r="O18" s="476"/>
      <c r="P18" s="476"/>
      <c r="Q18" s="476"/>
      <c r="R18" s="477"/>
      <c r="S18" s="160" t="s">
        <v>85</v>
      </c>
      <c r="T18" s="360">
        <v>1120</v>
      </c>
      <c r="U18" s="361"/>
      <c r="V18" s="445">
        <v>119376</v>
      </c>
      <c r="W18" s="178">
        <f>V18+T18</f>
        <v>120496</v>
      </c>
      <c r="X18">
        <v>1</v>
      </c>
      <c r="Z18" s="1"/>
    </row>
    <row r="19" spans="1:27" ht="84" customHeight="1">
      <c r="A19" s="84">
        <v>12</v>
      </c>
      <c r="B19" s="27" t="s">
        <v>105</v>
      </c>
      <c r="C19" s="40">
        <v>1</v>
      </c>
      <c r="D19" s="40">
        <v>1</v>
      </c>
      <c r="E19" s="40"/>
      <c r="F19" s="40">
        <v>12</v>
      </c>
      <c r="G19" s="27" t="s">
        <v>78</v>
      </c>
      <c r="H19" s="40">
        <v>5</v>
      </c>
      <c r="I19" s="40">
        <v>4</v>
      </c>
      <c r="J19" s="40">
        <v>1</v>
      </c>
      <c r="K19" s="40"/>
      <c r="L19" s="186"/>
      <c r="M19" s="478"/>
      <c r="N19" s="479"/>
      <c r="O19" s="479"/>
      <c r="P19" s="479"/>
      <c r="Q19" s="479"/>
      <c r="R19" s="480"/>
      <c r="S19" s="161"/>
      <c r="T19" s="364"/>
      <c r="U19" s="365"/>
      <c r="V19" s="447"/>
      <c r="W19" s="178"/>
      <c r="Z19" s="1"/>
    </row>
    <row r="20" spans="1:27" ht="99.95" customHeight="1">
      <c r="A20" s="84">
        <v>13</v>
      </c>
      <c r="B20" s="14" t="s">
        <v>94</v>
      </c>
      <c r="C20" s="40">
        <v>1</v>
      </c>
      <c r="D20" s="40">
        <v>1</v>
      </c>
      <c r="E20" s="40"/>
      <c r="F20" s="40">
        <v>13</v>
      </c>
      <c r="G20" s="27" t="s">
        <v>19</v>
      </c>
      <c r="H20" s="40">
        <v>3</v>
      </c>
      <c r="I20" s="40">
        <v>3</v>
      </c>
      <c r="J20" s="40"/>
      <c r="K20" s="40"/>
      <c r="L20" s="152">
        <v>6</v>
      </c>
      <c r="M20" s="212" t="s">
        <v>329</v>
      </c>
      <c r="N20" s="213"/>
      <c r="O20" s="213"/>
      <c r="P20" s="213"/>
      <c r="Q20" s="213"/>
      <c r="R20" s="214"/>
      <c r="S20" s="442" t="s">
        <v>85</v>
      </c>
      <c r="T20" s="367">
        <v>703</v>
      </c>
      <c r="U20" s="368"/>
      <c r="V20" s="445">
        <v>45055</v>
      </c>
      <c r="W20" s="178">
        <f>V20+T20</f>
        <v>45758</v>
      </c>
      <c r="Z20" s="1"/>
    </row>
    <row r="21" spans="1:27" ht="99.95" customHeight="1">
      <c r="A21" s="84">
        <v>14</v>
      </c>
      <c r="B21" s="31" t="s">
        <v>225</v>
      </c>
      <c r="C21" s="40">
        <v>1</v>
      </c>
      <c r="D21" s="40">
        <v>1</v>
      </c>
      <c r="E21" s="40"/>
      <c r="F21" s="40">
        <v>14</v>
      </c>
      <c r="G21" s="27" t="s">
        <v>59</v>
      </c>
      <c r="H21" s="40">
        <v>1</v>
      </c>
      <c r="I21" s="40"/>
      <c r="J21" s="40">
        <v>1</v>
      </c>
      <c r="K21" s="40"/>
      <c r="L21" s="187"/>
      <c r="M21" s="215"/>
      <c r="N21" s="504"/>
      <c r="O21" s="504"/>
      <c r="P21" s="504"/>
      <c r="Q21" s="504"/>
      <c r="R21" s="217"/>
      <c r="S21" s="443"/>
      <c r="T21" s="369"/>
      <c r="U21" s="370"/>
      <c r="V21" s="446"/>
      <c r="W21" s="178"/>
      <c r="Z21" s="1"/>
    </row>
    <row r="22" spans="1:27" ht="99.95" customHeight="1">
      <c r="A22" s="84">
        <v>15</v>
      </c>
      <c r="B22" s="27" t="s">
        <v>8</v>
      </c>
      <c r="C22" s="59">
        <v>11</v>
      </c>
      <c r="D22" s="40">
        <v>9</v>
      </c>
      <c r="E22" s="40">
        <v>2</v>
      </c>
      <c r="F22" s="40">
        <v>15</v>
      </c>
      <c r="G22" s="27" t="s">
        <v>92</v>
      </c>
      <c r="H22" s="40">
        <v>1</v>
      </c>
      <c r="I22" s="40">
        <v>1</v>
      </c>
      <c r="J22" s="83"/>
      <c r="K22" s="40"/>
      <c r="L22" s="187"/>
      <c r="M22" s="215"/>
      <c r="N22" s="504"/>
      <c r="O22" s="504"/>
      <c r="P22" s="504"/>
      <c r="Q22" s="504"/>
      <c r="R22" s="217"/>
      <c r="S22" s="443"/>
      <c r="T22" s="369"/>
      <c r="U22" s="370"/>
      <c r="V22" s="446"/>
      <c r="W22" s="178"/>
      <c r="Z22" s="1"/>
    </row>
    <row r="23" spans="1:27" ht="99.95" customHeight="1">
      <c r="A23" s="84">
        <v>16</v>
      </c>
      <c r="B23" s="27" t="s">
        <v>63</v>
      </c>
      <c r="C23" s="59">
        <v>10</v>
      </c>
      <c r="D23" s="40">
        <v>8</v>
      </c>
      <c r="E23" s="40">
        <v>2</v>
      </c>
      <c r="F23" s="40">
        <v>16</v>
      </c>
      <c r="G23" s="27" t="s">
        <v>7</v>
      </c>
      <c r="H23" s="40">
        <v>3</v>
      </c>
      <c r="I23" s="40">
        <v>3</v>
      </c>
      <c r="J23" s="40"/>
      <c r="K23" s="40"/>
      <c r="L23" s="187"/>
      <c r="M23" s="215"/>
      <c r="N23" s="504"/>
      <c r="O23" s="504"/>
      <c r="P23" s="504"/>
      <c r="Q23" s="504"/>
      <c r="R23" s="217"/>
      <c r="S23" s="443"/>
      <c r="T23" s="369"/>
      <c r="U23" s="370"/>
      <c r="V23" s="446"/>
      <c r="W23" s="178"/>
      <c r="Z23" s="1"/>
    </row>
    <row r="24" spans="1:27" ht="70.5" customHeight="1">
      <c r="A24" s="84">
        <v>17</v>
      </c>
      <c r="B24" s="27" t="s">
        <v>17</v>
      </c>
      <c r="C24" s="40">
        <v>5</v>
      </c>
      <c r="D24" s="40">
        <v>4</v>
      </c>
      <c r="E24" s="40">
        <v>1</v>
      </c>
      <c r="F24" s="40">
        <v>17</v>
      </c>
      <c r="G24" s="27" t="s">
        <v>14</v>
      </c>
      <c r="H24" s="40">
        <v>4</v>
      </c>
      <c r="I24" s="40">
        <v>3</v>
      </c>
      <c r="J24" s="40"/>
      <c r="K24" s="40">
        <v>1</v>
      </c>
      <c r="L24" s="187"/>
      <c r="M24" s="218"/>
      <c r="N24" s="219"/>
      <c r="O24" s="219"/>
      <c r="P24" s="219"/>
      <c r="Q24" s="219"/>
      <c r="R24" s="220"/>
      <c r="S24" s="444"/>
      <c r="T24" s="371"/>
      <c r="U24" s="372"/>
      <c r="V24" s="447"/>
      <c r="W24" s="178"/>
      <c r="Z24" s="1"/>
    </row>
    <row r="25" spans="1:27" ht="69.95" customHeight="1">
      <c r="A25" s="84">
        <v>18</v>
      </c>
      <c r="B25" s="27" t="s">
        <v>43</v>
      </c>
      <c r="C25" s="40">
        <v>1</v>
      </c>
      <c r="D25" s="40"/>
      <c r="E25" s="40">
        <v>1</v>
      </c>
      <c r="F25" s="40">
        <v>18</v>
      </c>
      <c r="G25" s="27" t="s">
        <v>15</v>
      </c>
      <c r="H25" s="40">
        <v>1</v>
      </c>
      <c r="I25" s="40">
        <v>1</v>
      </c>
      <c r="J25" s="40"/>
      <c r="K25" s="40"/>
      <c r="L25" s="152">
        <v>7</v>
      </c>
      <c r="M25" s="401" t="s">
        <v>326</v>
      </c>
      <c r="N25" s="402"/>
      <c r="O25" s="402"/>
      <c r="P25" s="402"/>
      <c r="Q25" s="402"/>
      <c r="R25" s="403"/>
      <c r="S25" s="442" t="s">
        <v>85</v>
      </c>
      <c r="T25" s="360">
        <v>372</v>
      </c>
      <c r="U25" s="361"/>
      <c r="V25" s="445">
        <v>39777</v>
      </c>
      <c r="W25" s="209">
        <f>V25+T25</f>
        <v>40149</v>
      </c>
      <c r="Z25" s="1"/>
    </row>
    <row r="26" spans="1:27" ht="69.95" customHeight="1">
      <c r="A26" s="84">
        <v>19</v>
      </c>
      <c r="B26" s="27" t="s">
        <v>45</v>
      </c>
      <c r="C26" s="40">
        <v>2</v>
      </c>
      <c r="D26" s="40"/>
      <c r="E26" s="40">
        <v>2</v>
      </c>
      <c r="F26" s="40">
        <v>19</v>
      </c>
      <c r="G26" s="27" t="s">
        <v>40</v>
      </c>
      <c r="H26" s="40">
        <v>2</v>
      </c>
      <c r="I26" s="40">
        <v>2</v>
      </c>
      <c r="J26" s="40"/>
      <c r="K26" s="40"/>
      <c r="L26" s="187"/>
      <c r="M26" s="404"/>
      <c r="N26" s="505"/>
      <c r="O26" s="505"/>
      <c r="P26" s="505"/>
      <c r="Q26" s="505"/>
      <c r="R26" s="406"/>
      <c r="S26" s="443"/>
      <c r="T26" s="362"/>
      <c r="U26" s="363"/>
      <c r="V26" s="446"/>
      <c r="W26" s="209"/>
      <c r="Z26" s="1">
        <v>35734</v>
      </c>
      <c r="AA26">
        <f>Z26/Z27</f>
        <v>0.30193748996611719</v>
      </c>
    </row>
    <row r="27" spans="1:27" s="6" customFormat="1" ht="69.95" customHeight="1">
      <c r="A27" s="84">
        <v>20</v>
      </c>
      <c r="B27" s="27" t="s">
        <v>58</v>
      </c>
      <c r="C27" s="40">
        <v>1</v>
      </c>
      <c r="D27" s="40">
        <v>1</v>
      </c>
      <c r="E27" s="40"/>
      <c r="F27" s="40">
        <v>20</v>
      </c>
      <c r="G27" s="27" t="s">
        <v>53</v>
      </c>
      <c r="H27" s="40">
        <v>18</v>
      </c>
      <c r="I27" s="40">
        <v>18</v>
      </c>
      <c r="J27" s="40"/>
      <c r="K27" s="40"/>
      <c r="L27" s="187"/>
      <c r="M27" s="404"/>
      <c r="N27" s="505"/>
      <c r="O27" s="505"/>
      <c r="P27" s="505"/>
      <c r="Q27" s="505"/>
      <c r="R27" s="406"/>
      <c r="S27" s="443"/>
      <c r="T27" s="362"/>
      <c r="U27" s="363"/>
      <c r="V27" s="446"/>
      <c r="W27" s="209"/>
      <c r="Z27" s="34">
        <v>118349</v>
      </c>
    </row>
    <row r="28" spans="1:27" s="6" customFormat="1" ht="69.95" customHeight="1">
      <c r="A28" s="84">
        <v>21</v>
      </c>
      <c r="B28" s="27" t="s">
        <v>101</v>
      </c>
      <c r="C28" s="40">
        <v>1</v>
      </c>
      <c r="D28" s="40">
        <v>1</v>
      </c>
      <c r="E28" s="40"/>
      <c r="F28" s="40">
        <v>21</v>
      </c>
      <c r="G28" s="27" t="s">
        <v>54</v>
      </c>
      <c r="H28" s="40">
        <v>5</v>
      </c>
      <c r="I28" s="40">
        <v>5</v>
      </c>
      <c r="J28" s="40"/>
      <c r="K28" s="40"/>
      <c r="L28" s="187"/>
      <c r="M28" s="404"/>
      <c r="N28" s="505"/>
      <c r="O28" s="505"/>
      <c r="P28" s="505"/>
      <c r="Q28" s="505"/>
      <c r="R28" s="406"/>
      <c r="S28" s="443"/>
      <c r="T28" s="362"/>
      <c r="U28" s="363"/>
      <c r="V28" s="446"/>
      <c r="W28" s="209"/>
      <c r="Z28" s="34"/>
    </row>
    <row r="29" spans="1:27" s="6" customFormat="1" ht="69.95" customHeight="1">
      <c r="A29" s="84">
        <v>22</v>
      </c>
      <c r="B29" s="27" t="s">
        <v>44</v>
      </c>
      <c r="C29" s="40">
        <v>2</v>
      </c>
      <c r="D29" s="40">
        <v>2</v>
      </c>
      <c r="E29" s="40"/>
      <c r="F29" s="40">
        <v>22</v>
      </c>
      <c r="G29" s="27" t="s">
        <v>55</v>
      </c>
      <c r="H29" s="40">
        <v>6</v>
      </c>
      <c r="I29" s="40">
        <v>6</v>
      </c>
      <c r="J29" s="40"/>
      <c r="K29" s="40"/>
      <c r="L29" s="153"/>
      <c r="M29" s="407"/>
      <c r="N29" s="408"/>
      <c r="O29" s="408"/>
      <c r="P29" s="408"/>
      <c r="Q29" s="408"/>
      <c r="R29" s="409"/>
      <c r="S29" s="444"/>
      <c r="T29" s="364"/>
      <c r="U29" s="365"/>
      <c r="V29" s="447"/>
      <c r="W29" s="209"/>
      <c r="Z29" s="34"/>
    </row>
    <row r="30" spans="1:27" ht="51.95" customHeight="1">
      <c r="A30" s="84">
        <v>23</v>
      </c>
      <c r="B30" s="27" t="s">
        <v>60</v>
      </c>
      <c r="C30" s="40">
        <v>2</v>
      </c>
      <c r="D30" s="40">
        <v>1</v>
      </c>
      <c r="E30" s="40">
        <v>1</v>
      </c>
      <c r="F30" s="40">
        <v>23</v>
      </c>
      <c r="G30" s="27" t="s">
        <v>73</v>
      </c>
      <c r="H30" s="40">
        <v>1</v>
      </c>
      <c r="I30" s="40">
        <v>1</v>
      </c>
      <c r="J30" s="40"/>
      <c r="K30" s="40"/>
      <c r="L30" s="168" t="s">
        <v>104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70"/>
      <c r="W30" s="32"/>
      <c r="Z30" s="1"/>
    </row>
    <row r="31" spans="1:27" ht="51.95" customHeight="1">
      <c r="A31" s="84">
        <v>24</v>
      </c>
      <c r="B31" s="27" t="s">
        <v>62</v>
      </c>
      <c r="C31" s="40">
        <v>3</v>
      </c>
      <c r="D31" s="40">
        <v>3</v>
      </c>
      <c r="E31" s="40"/>
      <c r="F31" s="40">
        <v>24</v>
      </c>
      <c r="G31" s="27" t="s">
        <v>97</v>
      </c>
      <c r="H31" s="40">
        <v>2</v>
      </c>
      <c r="I31" s="40"/>
      <c r="J31" s="40"/>
      <c r="K31" s="40"/>
      <c r="L31" s="40">
        <v>1</v>
      </c>
      <c r="M31" s="171"/>
      <c r="N31" s="172"/>
      <c r="O31" s="172"/>
      <c r="P31" s="172"/>
      <c r="Q31" s="172"/>
      <c r="R31" s="173"/>
      <c r="S31" s="49"/>
      <c r="T31" s="50"/>
      <c r="U31" s="51"/>
      <c r="V31" s="54"/>
      <c r="W31" s="178"/>
      <c r="Z31" s="1"/>
    </row>
    <row r="32" spans="1:27" ht="51.95" customHeight="1">
      <c r="A32" s="84">
        <v>25</v>
      </c>
      <c r="B32" s="27" t="s">
        <v>36</v>
      </c>
      <c r="C32" s="40">
        <v>2</v>
      </c>
      <c r="D32" s="40">
        <v>2</v>
      </c>
      <c r="E32" s="40"/>
      <c r="F32" s="40">
        <v>25</v>
      </c>
      <c r="G32" s="86" t="s">
        <v>220</v>
      </c>
      <c r="H32" s="40">
        <v>1</v>
      </c>
      <c r="I32" s="40"/>
      <c r="J32" s="40"/>
      <c r="K32" s="40"/>
      <c r="L32" s="152">
        <v>2</v>
      </c>
      <c r="M32" s="180"/>
      <c r="N32" s="181"/>
      <c r="O32" s="181"/>
      <c r="P32" s="181"/>
      <c r="Q32" s="181"/>
      <c r="R32" s="182"/>
      <c r="S32" s="160"/>
      <c r="T32" s="162"/>
      <c r="U32" s="163"/>
      <c r="V32" s="166"/>
      <c r="W32" s="179"/>
      <c r="Z32" s="1"/>
    </row>
    <row r="33" spans="1:27" ht="51.95" customHeight="1">
      <c r="A33" s="84">
        <v>26</v>
      </c>
      <c r="B33" s="27" t="s">
        <v>93</v>
      </c>
      <c r="C33" s="40">
        <v>1</v>
      </c>
      <c r="D33" s="40">
        <v>1</v>
      </c>
      <c r="E33" s="40"/>
      <c r="F33" s="40"/>
      <c r="G33" s="27"/>
      <c r="H33" s="40"/>
      <c r="I33" s="40"/>
      <c r="J33" s="40"/>
      <c r="K33" s="40"/>
      <c r="L33" s="153"/>
      <c r="M33" s="183"/>
      <c r="N33" s="184"/>
      <c r="O33" s="184"/>
      <c r="P33" s="184"/>
      <c r="Q33" s="184"/>
      <c r="R33" s="185"/>
      <c r="S33" s="161"/>
      <c r="T33" s="164"/>
      <c r="U33" s="165"/>
      <c r="V33" s="167"/>
      <c r="W33" s="179"/>
      <c r="Z33" s="1"/>
    </row>
    <row r="34" spans="1:27" ht="51.95" customHeight="1">
      <c r="A34" s="84">
        <v>27</v>
      </c>
      <c r="B34" s="27" t="s">
        <v>46</v>
      </c>
      <c r="C34" s="40">
        <v>1</v>
      </c>
      <c r="D34" s="40">
        <v>1</v>
      </c>
      <c r="E34" s="40"/>
      <c r="F34" s="40"/>
      <c r="G34" s="27"/>
      <c r="H34" s="40"/>
      <c r="I34" s="40"/>
      <c r="J34" s="40"/>
      <c r="K34" s="40"/>
      <c r="L34" s="152">
        <v>3</v>
      </c>
      <c r="M34" s="180"/>
      <c r="N34" s="181"/>
      <c r="O34" s="181"/>
      <c r="P34" s="181"/>
      <c r="Q34" s="181"/>
      <c r="R34" s="182"/>
      <c r="S34" s="90"/>
      <c r="T34" s="162"/>
      <c r="U34" s="163"/>
      <c r="V34" s="91"/>
      <c r="W34" s="179"/>
      <c r="Z34" s="1"/>
    </row>
    <row r="35" spans="1:27" ht="63.75" customHeight="1">
      <c r="A35" s="150" t="s">
        <v>9</v>
      </c>
      <c r="B35" s="151"/>
      <c r="C35" s="61">
        <f>SUM(C7:C34)</f>
        <v>60</v>
      </c>
      <c r="D35" s="61">
        <f>SUM(D7:D34)</f>
        <v>47</v>
      </c>
      <c r="E35" s="61">
        <f>SUM(E7:E34)</f>
        <v>13</v>
      </c>
      <c r="F35" s="151" t="s">
        <v>9</v>
      </c>
      <c r="G35" s="151"/>
      <c r="H35" s="64">
        <f>SUM(H7:H34)</f>
        <v>74</v>
      </c>
      <c r="I35" s="64">
        <f>SUM(I7:I34)</f>
        <v>59</v>
      </c>
      <c r="J35" s="64">
        <f>SUM(J7:J34)</f>
        <v>4</v>
      </c>
      <c r="K35" s="64">
        <f>SUM(K7:K34)</f>
        <v>4</v>
      </c>
      <c r="L35" s="153"/>
      <c r="M35" s="183"/>
      <c r="N35" s="184"/>
      <c r="O35" s="184"/>
      <c r="P35" s="184"/>
      <c r="Q35" s="184"/>
      <c r="R35" s="185"/>
      <c r="S35" s="48"/>
      <c r="T35" s="52"/>
      <c r="U35" s="53"/>
      <c r="V35" s="55"/>
      <c r="W35" s="16"/>
    </row>
    <row r="36" spans="1:27" ht="49.5" customHeight="1">
      <c r="A36" s="456" t="s">
        <v>81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132" t="s">
        <v>33</v>
      </c>
      <c r="P36" s="132"/>
      <c r="Q36" s="132"/>
      <c r="R36" s="132"/>
      <c r="S36" s="132"/>
      <c r="T36" s="132"/>
      <c r="U36" s="132"/>
      <c r="V36" s="133"/>
      <c r="W36" s="16"/>
    </row>
    <row r="37" spans="1:27" ht="54" customHeight="1">
      <c r="A37" s="11" t="s">
        <v>2</v>
      </c>
      <c r="B37" s="27" t="s">
        <v>5</v>
      </c>
      <c r="C37" s="143" t="s">
        <v>24</v>
      </c>
      <c r="D37" s="143"/>
      <c r="E37" s="143" t="s">
        <v>68</v>
      </c>
      <c r="F37" s="143"/>
      <c r="G37" s="143"/>
      <c r="H37" s="143" t="s">
        <v>42</v>
      </c>
      <c r="I37" s="143"/>
      <c r="J37" s="143"/>
      <c r="K37" s="143" t="s">
        <v>41</v>
      </c>
      <c r="L37" s="143"/>
      <c r="M37" s="143"/>
      <c r="N37" s="143"/>
      <c r="O37" s="144" t="s">
        <v>31</v>
      </c>
      <c r="P37" s="145"/>
      <c r="Q37" s="145"/>
      <c r="R37" s="146"/>
      <c r="S37" s="62" t="s">
        <v>75</v>
      </c>
      <c r="T37" s="62" t="s">
        <v>77</v>
      </c>
      <c r="U37" s="62" t="s">
        <v>76</v>
      </c>
      <c r="V37" s="63" t="s">
        <v>32</v>
      </c>
      <c r="W37" s="16"/>
    </row>
    <row r="38" spans="1:27" ht="116.25" customHeight="1">
      <c r="A38" s="85">
        <v>1</v>
      </c>
      <c r="B38" s="74" t="s">
        <v>135</v>
      </c>
      <c r="C38" s="134"/>
      <c r="D38" s="135"/>
      <c r="E38" s="109">
        <v>100</v>
      </c>
      <c r="F38" s="111"/>
      <c r="G38" s="110"/>
      <c r="H38" s="134">
        <v>0</v>
      </c>
      <c r="I38" s="136"/>
      <c r="J38" s="135"/>
      <c r="K38" s="134">
        <v>99</v>
      </c>
      <c r="L38" s="136"/>
      <c r="M38" s="136"/>
      <c r="N38" s="135"/>
      <c r="O38" s="140"/>
      <c r="P38" s="141"/>
      <c r="Q38" s="141"/>
      <c r="R38" s="142"/>
      <c r="S38" s="56"/>
      <c r="T38" s="56"/>
      <c r="U38" s="56"/>
      <c r="V38" s="58"/>
      <c r="W38" s="80">
        <f>K38+H38</f>
        <v>99</v>
      </c>
      <c r="Y38" s="8"/>
    </row>
    <row r="39" spans="1:27" ht="108" customHeight="1">
      <c r="A39" s="85">
        <v>2</v>
      </c>
      <c r="B39" s="74" t="s">
        <v>136</v>
      </c>
      <c r="C39" s="117"/>
      <c r="D39" s="118"/>
      <c r="E39" s="109">
        <v>2676</v>
      </c>
      <c r="F39" s="111"/>
      <c r="G39" s="110"/>
      <c r="H39" s="134">
        <v>0</v>
      </c>
      <c r="I39" s="136"/>
      <c r="J39" s="135"/>
      <c r="K39" s="134">
        <v>683</v>
      </c>
      <c r="L39" s="136"/>
      <c r="M39" s="136"/>
      <c r="N39" s="135"/>
      <c r="O39" s="140"/>
      <c r="P39" s="141"/>
      <c r="Q39" s="141"/>
      <c r="R39" s="142"/>
      <c r="S39" s="56"/>
      <c r="T39" s="56"/>
      <c r="U39" s="56"/>
      <c r="V39" s="58"/>
      <c r="W39" s="80">
        <f t="shared" ref="W39:W46" si="2">K39+H39</f>
        <v>683</v>
      </c>
      <c r="X39" s="2"/>
      <c r="Y39" s="7"/>
      <c r="Z39" s="7"/>
      <c r="AA39" s="9"/>
    </row>
    <row r="40" spans="1:27" ht="100.5" customHeight="1">
      <c r="A40" s="85">
        <v>3</v>
      </c>
      <c r="B40" s="74" t="s">
        <v>80</v>
      </c>
      <c r="C40" s="500"/>
      <c r="D40" s="501"/>
      <c r="E40" s="109">
        <v>178000</v>
      </c>
      <c r="F40" s="111"/>
      <c r="G40" s="110"/>
      <c r="H40" s="109">
        <v>0</v>
      </c>
      <c r="I40" s="111"/>
      <c r="J40" s="110"/>
      <c r="K40" s="109">
        <v>145221</v>
      </c>
      <c r="L40" s="111"/>
      <c r="M40" s="111"/>
      <c r="N40" s="110"/>
      <c r="O40" s="140"/>
      <c r="P40" s="141"/>
      <c r="Q40" s="141"/>
      <c r="R40" s="142"/>
      <c r="S40" s="56"/>
      <c r="T40" s="56"/>
      <c r="U40" s="57"/>
      <c r="V40" s="58"/>
      <c r="W40" s="92">
        <f>K40+H40</f>
        <v>145221</v>
      </c>
      <c r="X40" s="2"/>
      <c r="Y40" s="7"/>
      <c r="Z40" s="7"/>
      <c r="AA40" s="9"/>
    </row>
    <row r="41" spans="1:27" ht="65.099999999999994" customHeight="1">
      <c r="A41" s="85">
        <v>4</v>
      </c>
      <c r="B41" s="74" t="s">
        <v>56</v>
      </c>
      <c r="C41" s="117"/>
      <c r="D41" s="118"/>
      <c r="E41" s="109">
        <v>20920</v>
      </c>
      <c r="F41" s="111"/>
      <c r="G41" s="110"/>
      <c r="H41" s="109">
        <v>0</v>
      </c>
      <c r="I41" s="111"/>
      <c r="J41" s="110"/>
      <c r="K41" s="109">
        <v>15900</v>
      </c>
      <c r="L41" s="111"/>
      <c r="M41" s="111"/>
      <c r="N41" s="110"/>
      <c r="O41" s="132" t="s">
        <v>25</v>
      </c>
      <c r="P41" s="132"/>
      <c r="Q41" s="132"/>
      <c r="R41" s="132"/>
      <c r="S41" s="132"/>
      <c r="T41" s="132"/>
      <c r="U41" s="132"/>
      <c r="V41" s="133"/>
      <c r="W41" s="22">
        <f t="shared" si="2"/>
        <v>15900</v>
      </c>
      <c r="X41" s="2"/>
      <c r="Y41" s="7"/>
      <c r="Z41" s="7"/>
      <c r="AA41" s="9"/>
    </row>
    <row r="42" spans="1:27" ht="65.099999999999994" customHeight="1">
      <c r="A42" s="85">
        <v>5</v>
      </c>
      <c r="B42" s="74" t="s">
        <v>114</v>
      </c>
      <c r="C42" s="122">
        <v>11</v>
      </c>
      <c r="D42" s="123"/>
      <c r="E42" s="109">
        <v>1370</v>
      </c>
      <c r="F42" s="111"/>
      <c r="G42" s="110"/>
      <c r="H42" s="109">
        <v>11</v>
      </c>
      <c r="I42" s="111"/>
      <c r="J42" s="110"/>
      <c r="K42" s="109">
        <v>1371</v>
      </c>
      <c r="L42" s="111"/>
      <c r="M42" s="111"/>
      <c r="N42" s="110"/>
      <c r="O42" s="126" t="s">
        <v>107</v>
      </c>
      <c r="P42" s="127"/>
      <c r="Q42" s="127"/>
      <c r="R42" s="127"/>
      <c r="S42" s="127"/>
      <c r="T42" s="127"/>
      <c r="U42" s="127"/>
      <c r="V42" s="128"/>
      <c r="W42" s="22">
        <f>K42+H42</f>
        <v>1382</v>
      </c>
      <c r="X42" s="2"/>
      <c r="Y42" s="7"/>
      <c r="Z42" s="7"/>
      <c r="AA42" s="9"/>
    </row>
    <row r="43" spans="1:27" ht="65.099999999999994" customHeight="1">
      <c r="A43" s="85">
        <v>6</v>
      </c>
      <c r="B43" s="74" t="s">
        <v>115</v>
      </c>
      <c r="C43" s="122">
        <v>84</v>
      </c>
      <c r="D43" s="123"/>
      <c r="E43" s="109">
        <v>8372</v>
      </c>
      <c r="F43" s="111"/>
      <c r="G43" s="110"/>
      <c r="H43" s="109">
        <v>84</v>
      </c>
      <c r="I43" s="111"/>
      <c r="J43" s="110"/>
      <c r="K43" s="109">
        <v>8372</v>
      </c>
      <c r="L43" s="111"/>
      <c r="M43" s="111"/>
      <c r="N43" s="110"/>
      <c r="O43" s="126" t="s">
        <v>86</v>
      </c>
      <c r="P43" s="127"/>
      <c r="Q43" s="127"/>
      <c r="R43" s="127"/>
      <c r="S43" s="127"/>
      <c r="T43" s="127"/>
      <c r="U43" s="127"/>
      <c r="V43" s="128"/>
      <c r="W43" s="23">
        <f>K43+H43</f>
        <v>8456</v>
      </c>
      <c r="X43" s="2"/>
      <c r="Y43" s="7"/>
      <c r="Z43" s="7"/>
      <c r="AA43" s="9"/>
    </row>
    <row r="44" spans="1:27" ht="65.099999999999994" customHeight="1">
      <c r="A44" s="85">
        <v>7</v>
      </c>
      <c r="B44" s="74" t="s">
        <v>79</v>
      </c>
      <c r="C44" s="117"/>
      <c r="D44" s="118"/>
      <c r="E44" s="109">
        <v>9260</v>
      </c>
      <c r="F44" s="111"/>
      <c r="G44" s="110"/>
      <c r="H44" s="109">
        <v>0</v>
      </c>
      <c r="I44" s="111"/>
      <c r="J44" s="110"/>
      <c r="K44" s="109">
        <v>7980</v>
      </c>
      <c r="L44" s="111"/>
      <c r="M44" s="111"/>
      <c r="N44" s="110"/>
      <c r="O44" s="119" t="s">
        <v>87</v>
      </c>
      <c r="P44" s="120"/>
      <c r="Q44" s="120"/>
      <c r="R44" s="120"/>
      <c r="S44" s="120"/>
      <c r="T44" s="120"/>
      <c r="U44" s="120"/>
      <c r="V44" s="121"/>
      <c r="W44" s="22">
        <f t="shared" si="2"/>
        <v>7980</v>
      </c>
      <c r="X44" s="2"/>
      <c r="Y44" s="7"/>
      <c r="Z44" s="7"/>
      <c r="AA44" s="9"/>
    </row>
    <row r="45" spans="1:27" ht="65.099999999999994" customHeight="1">
      <c r="A45" s="85">
        <v>8</v>
      </c>
      <c r="B45" s="74" t="s">
        <v>98</v>
      </c>
      <c r="C45" s="122"/>
      <c r="D45" s="123"/>
      <c r="E45" s="109">
        <v>2938</v>
      </c>
      <c r="F45" s="111"/>
      <c r="G45" s="110"/>
      <c r="H45" s="109">
        <v>0</v>
      </c>
      <c r="I45" s="111"/>
      <c r="J45" s="110"/>
      <c r="K45" s="109">
        <v>400</v>
      </c>
      <c r="L45" s="111"/>
      <c r="M45" s="111"/>
      <c r="N45" s="110"/>
      <c r="O45" s="124" t="s">
        <v>96</v>
      </c>
      <c r="P45" s="124"/>
      <c r="Q45" s="124"/>
      <c r="R45" s="124"/>
      <c r="S45" s="124"/>
      <c r="T45" s="124"/>
      <c r="U45" s="124"/>
      <c r="V45" s="125"/>
      <c r="W45" s="22">
        <f t="shared" si="2"/>
        <v>400</v>
      </c>
      <c r="X45" s="2"/>
      <c r="Y45" s="7"/>
      <c r="Z45" s="7"/>
      <c r="AA45" s="9"/>
    </row>
    <row r="46" spans="1:27" ht="65.099999999999994" customHeight="1">
      <c r="A46" s="85">
        <v>9</v>
      </c>
      <c r="B46" s="74" t="s">
        <v>99</v>
      </c>
      <c r="C46" s="109"/>
      <c r="D46" s="110"/>
      <c r="E46" s="109">
        <v>1523</v>
      </c>
      <c r="F46" s="111"/>
      <c r="G46" s="110"/>
      <c r="H46" s="109">
        <v>0</v>
      </c>
      <c r="I46" s="111"/>
      <c r="J46" s="110"/>
      <c r="K46" s="109">
        <v>200</v>
      </c>
      <c r="L46" s="111"/>
      <c r="M46" s="111"/>
      <c r="N46" s="110"/>
      <c r="O46" s="399"/>
      <c r="P46" s="399"/>
      <c r="Q46" s="399"/>
      <c r="R46" s="399"/>
      <c r="S46" s="399"/>
      <c r="T46" s="399"/>
      <c r="U46" s="399"/>
      <c r="V46" s="400"/>
      <c r="W46" s="22">
        <f t="shared" si="2"/>
        <v>200</v>
      </c>
      <c r="X46" s="2"/>
      <c r="Y46" s="7"/>
      <c r="Z46" s="7"/>
      <c r="AA46" s="9"/>
    </row>
    <row r="47" spans="1:27" ht="69" customHeight="1">
      <c r="A47" s="488" t="s">
        <v>90</v>
      </c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89"/>
      <c r="N47" s="489"/>
      <c r="O47" s="489"/>
      <c r="P47" s="489"/>
      <c r="Q47" s="489"/>
      <c r="R47" s="489"/>
      <c r="S47" s="489"/>
      <c r="T47" s="489"/>
      <c r="U47" s="489"/>
      <c r="V47" s="490"/>
      <c r="W47" s="21"/>
      <c r="X47" s="2"/>
      <c r="Y47" s="7">
        <f>14050+100</f>
        <v>14150</v>
      </c>
      <c r="Z47" s="7"/>
      <c r="AA47" s="9"/>
    </row>
    <row r="48" spans="1:27" s="44" customFormat="1" ht="54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  <c r="W48" s="41"/>
      <c r="X48" s="42"/>
      <c r="Y48" s="42"/>
      <c r="Z48" s="42"/>
      <c r="AA48" s="43"/>
    </row>
    <row r="49" spans="1:22" ht="97.5" customHeight="1">
      <c r="A49" s="96" t="s">
        <v>88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8"/>
      <c r="O49" s="99" t="s">
        <v>18</v>
      </c>
      <c r="P49" s="99"/>
      <c r="Q49" s="99"/>
      <c r="R49" s="99"/>
      <c r="S49" s="99"/>
      <c r="T49" s="99"/>
      <c r="U49" s="99"/>
      <c r="V49" s="100"/>
    </row>
    <row r="50" spans="1:22" ht="63.75" customHeight="1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452" t="s">
        <v>67</v>
      </c>
      <c r="P50" s="452"/>
      <c r="Q50" s="452"/>
      <c r="R50" s="452"/>
      <c r="S50" s="452"/>
      <c r="T50" s="452"/>
      <c r="U50" s="452"/>
      <c r="V50" s="453"/>
    </row>
    <row r="51" spans="1:22" ht="45" customHeight="1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452"/>
      <c r="P51" s="452"/>
      <c r="Q51" s="452"/>
      <c r="R51" s="452"/>
      <c r="S51" s="452"/>
      <c r="T51" s="452"/>
      <c r="U51" s="452"/>
      <c r="V51" s="453"/>
    </row>
    <row r="52" spans="1:22" ht="45" customHeight="1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452"/>
      <c r="P52" s="452"/>
      <c r="Q52" s="452"/>
      <c r="R52" s="452"/>
      <c r="S52" s="452"/>
      <c r="T52" s="452"/>
      <c r="U52" s="452"/>
      <c r="V52" s="453"/>
    </row>
    <row r="53" spans="1:22" ht="88.5" customHeight="1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452"/>
      <c r="P53" s="452"/>
      <c r="Q53" s="452"/>
      <c r="R53" s="452"/>
      <c r="S53" s="452"/>
      <c r="T53" s="452"/>
      <c r="U53" s="452"/>
      <c r="V53" s="453"/>
    </row>
    <row r="54" spans="1:22" ht="123.75" customHeight="1" thickBot="1">
      <c r="A54" s="103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454"/>
      <c r="P54" s="454"/>
      <c r="Q54" s="454"/>
      <c r="R54" s="454"/>
      <c r="S54" s="454"/>
      <c r="T54" s="454"/>
      <c r="U54" s="454"/>
      <c r="V54" s="455"/>
    </row>
    <row r="57" spans="1:22">
      <c r="S57" s="28"/>
      <c r="T57" s="28"/>
      <c r="U57" s="28"/>
    </row>
    <row r="58" spans="1:22">
      <c r="G58" s="88"/>
      <c r="H58" s="89"/>
      <c r="I58" s="89"/>
      <c r="J58" s="89"/>
      <c r="S58" s="28"/>
      <c r="T58" s="28"/>
      <c r="U58" s="29"/>
    </row>
    <row r="59" spans="1:22">
      <c r="G59" s="88"/>
      <c r="H59" s="89"/>
      <c r="I59" s="89"/>
      <c r="J59" s="89"/>
      <c r="S59" s="28"/>
      <c r="T59" s="28"/>
      <c r="U59" s="30"/>
    </row>
    <row r="60" spans="1:22">
      <c r="G60" s="88"/>
      <c r="H60" s="89"/>
      <c r="I60" s="89"/>
      <c r="J60" s="89"/>
      <c r="S60" s="28"/>
      <c r="T60" s="28"/>
      <c r="U60" s="28"/>
    </row>
    <row r="61" spans="1:22">
      <c r="G61" s="88"/>
      <c r="H61" s="89"/>
      <c r="I61" s="89"/>
      <c r="J61" s="89"/>
    </row>
    <row r="62" spans="1:22">
      <c r="G62" s="88"/>
      <c r="H62" s="89"/>
      <c r="I62" s="89"/>
      <c r="J62" s="89"/>
    </row>
    <row r="63" spans="1:22">
      <c r="G63" s="88"/>
      <c r="H63" s="89"/>
      <c r="I63" s="89"/>
      <c r="J63" s="89"/>
    </row>
    <row r="64" spans="1:22">
      <c r="G64" s="88"/>
      <c r="H64" s="89"/>
      <c r="I64" s="89"/>
      <c r="J64" s="89"/>
    </row>
    <row r="65" spans="1:31">
      <c r="G65" s="88"/>
      <c r="H65" s="89"/>
      <c r="I65" s="89"/>
      <c r="J65" s="89"/>
    </row>
    <row r="66" spans="1:31">
      <c r="G66" s="88"/>
      <c r="H66" s="89"/>
      <c r="I66" s="89"/>
      <c r="J66" s="89"/>
    </row>
    <row r="67" spans="1:31" s="3" customFormat="1">
      <c r="A67"/>
      <c r="B67" s="15"/>
      <c r="G67" s="88"/>
      <c r="H67" s="89"/>
      <c r="I67" s="89"/>
      <c r="J67" s="89"/>
      <c r="W67" s="20"/>
      <c r="X67"/>
      <c r="Y67"/>
      <c r="Z67"/>
      <c r="AA67"/>
      <c r="AB67"/>
      <c r="AC67"/>
      <c r="AD67"/>
      <c r="AE67"/>
    </row>
    <row r="68" spans="1:31" s="3" customFormat="1">
      <c r="A68"/>
      <c r="B68" s="15"/>
      <c r="G68" s="88"/>
      <c r="H68" s="89"/>
      <c r="I68" s="89"/>
      <c r="J68" s="89"/>
      <c r="W68" s="20"/>
      <c r="X68"/>
      <c r="Y68"/>
      <c r="Z68"/>
      <c r="AA68"/>
      <c r="AB68"/>
      <c r="AC68"/>
      <c r="AD68"/>
      <c r="AE68"/>
    </row>
    <row r="69" spans="1:31" s="3" customFormat="1">
      <c r="A69"/>
      <c r="B69" s="15"/>
      <c r="G69" s="88"/>
      <c r="H69" s="89"/>
      <c r="I69" s="89"/>
      <c r="J69" s="89"/>
      <c r="W69" s="20"/>
      <c r="X69"/>
      <c r="Y69"/>
      <c r="Z69"/>
      <c r="AA69"/>
      <c r="AB69"/>
      <c r="AC69"/>
      <c r="AD69"/>
      <c r="AE69"/>
    </row>
    <row r="70" spans="1:31" s="3" customFormat="1">
      <c r="A70"/>
      <c r="B70" s="15"/>
      <c r="G70" s="88"/>
      <c r="H70" s="89"/>
      <c r="I70" s="89"/>
      <c r="J70" s="89"/>
      <c r="W70" s="20"/>
      <c r="X70"/>
      <c r="Y70"/>
      <c r="Z70"/>
      <c r="AA70"/>
      <c r="AB70"/>
      <c r="AC70"/>
      <c r="AD70"/>
      <c r="AE70"/>
    </row>
    <row r="71" spans="1:31" s="3" customFormat="1">
      <c r="A71"/>
      <c r="B71" s="15"/>
      <c r="G71" s="88"/>
      <c r="H71" s="89"/>
      <c r="I71" s="89"/>
      <c r="J71" s="89"/>
      <c r="W71" s="20"/>
      <c r="X71"/>
      <c r="Y71"/>
      <c r="Z71"/>
      <c r="AA71"/>
      <c r="AB71"/>
      <c r="AC71"/>
      <c r="AD71"/>
      <c r="AE71"/>
    </row>
    <row r="72" spans="1:31" s="3" customFormat="1">
      <c r="A72"/>
      <c r="B72" s="15"/>
      <c r="G72" s="88"/>
      <c r="H72" s="89"/>
      <c r="I72" s="89"/>
      <c r="J72" s="89"/>
      <c r="W72" s="20"/>
      <c r="X72"/>
      <c r="Y72"/>
      <c r="Z72"/>
      <c r="AA72"/>
      <c r="AB72"/>
      <c r="AC72"/>
      <c r="AD72"/>
      <c r="AE72"/>
    </row>
    <row r="73" spans="1:31" s="3" customFormat="1">
      <c r="A73"/>
      <c r="B73" s="15"/>
      <c r="G73" s="88"/>
      <c r="H73" s="89"/>
      <c r="I73" s="89"/>
      <c r="J73" s="89"/>
      <c r="W73" s="20"/>
      <c r="X73"/>
      <c r="Y73"/>
      <c r="Z73"/>
      <c r="AA73"/>
      <c r="AB73"/>
      <c r="AC73"/>
      <c r="AD73"/>
      <c r="AE73"/>
    </row>
    <row r="74" spans="1:31" s="3" customFormat="1">
      <c r="A74"/>
      <c r="B74" s="15"/>
      <c r="G74" s="88"/>
      <c r="H74" s="89"/>
      <c r="I74" s="89"/>
      <c r="J74" s="89"/>
      <c r="W74" s="20"/>
      <c r="X74"/>
      <c r="Y74"/>
      <c r="Z74"/>
      <c r="AA74"/>
      <c r="AB74"/>
      <c r="AC74"/>
      <c r="AD74"/>
      <c r="AE74"/>
    </row>
    <row r="75" spans="1:31" s="3" customFormat="1">
      <c r="A75"/>
      <c r="B75" s="15"/>
      <c r="J75" s="4"/>
      <c r="W75" s="20"/>
      <c r="X75"/>
      <c r="Y75"/>
      <c r="Z75"/>
      <c r="AA75"/>
      <c r="AB75"/>
      <c r="AC75"/>
      <c r="AD75"/>
      <c r="AE75"/>
    </row>
    <row r="76" spans="1:31" s="3" customFormat="1">
      <c r="A76"/>
      <c r="B76" s="15"/>
      <c r="J76" s="4"/>
      <c r="W76" s="20"/>
      <c r="X76"/>
      <c r="Y76"/>
      <c r="Z76"/>
      <c r="AA76"/>
      <c r="AB76"/>
      <c r="AC76"/>
      <c r="AD76"/>
      <c r="AE76"/>
    </row>
    <row r="77" spans="1:31" s="3" customFormat="1">
      <c r="A77"/>
      <c r="B77" s="15"/>
      <c r="J77" s="4"/>
      <c r="W77" s="20"/>
      <c r="X77"/>
      <c r="Y77"/>
      <c r="Z77"/>
      <c r="AA77"/>
      <c r="AB77"/>
      <c r="AC77"/>
      <c r="AD77"/>
      <c r="AE77"/>
    </row>
    <row r="78" spans="1:31" s="3" customFormat="1">
      <c r="A78"/>
      <c r="B78" s="15"/>
      <c r="J78" s="4"/>
      <c r="W78" s="20"/>
      <c r="X78"/>
      <c r="Y78"/>
      <c r="Z78"/>
      <c r="AA78"/>
      <c r="AB78"/>
      <c r="AC78"/>
      <c r="AD78"/>
      <c r="AE78"/>
    </row>
    <row r="79" spans="1:31" s="3" customFormat="1">
      <c r="A79"/>
      <c r="B79" s="15"/>
      <c r="J79" s="4"/>
      <c r="W79" s="20"/>
      <c r="X79"/>
      <c r="Y79"/>
      <c r="Z79"/>
      <c r="AA79"/>
      <c r="AB79"/>
      <c r="AC79"/>
      <c r="AD79"/>
      <c r="AE79"/>
    </row>
    <row r="80" spans="1:31" s="3" customFormat="1">
      <c r="A80"/>
      <c r="B80" s="15"/>
      <c r="J80" s="4"/>
      <c r="W80" s="20"/>
      <c r="X80"/>
      <c r="Y80"/>
      <c r="Z80"/>
      <c r="AA80"/>
      <c r="AB80"/>
      <c r="AC80"/>
      <c r="AD80"/>
      <c r="AE80"/>
    </row>
    <row r="81" spans="1:31" s="3" customFormat="1">
      <c r="A81"/>
      <c r="B81" s="15"/>
      <c r="J81" s="4"/>
      <c r="W81" s="20"/>
      <c r="X81"/>
      <c r="Y81"/>
      <c r="Z81"/>
      <c r="AA81"/>
      <c r="AB81"/>
      <c r="AC81"/>
      <c r="AD81"/>
      <c r="AE81"/>
    </row>
    <row r="82" spans="1:31" s="3" customFormat="1">
      <c r="A82"/>
      <c r="B82" s="15"/>
      <c r="J82" s="4"/>
      <c r="W82" s="20"/>
      <c r="X82"/>
      <c r="Y82"/>
      <c r="Z82"/>
      <c r="AA82"/>
      <c r="AB82"/>
      <c r="AC82"/>
      <c r="AD82"/>
      <c r="AE82"/>
    </row>
    <row r="83" spans="1:31" s="3" customFormat="1">
      <c r="A83"/>
      <c r="B83" s="15"/>
      <c r="J83" s="4"/>
      <c r="W83" s="20"/>
      <c r="X83"/>
      <c r="Y83"/>
      <c r="Z83"/>
      <c r="AA83"/>
      <c r="AB83"/>
      <c r="AC83"/>
      <c r="AD83"/>
      <c r="AE83"/>
    </row>
    <row r="84" spans="1:31" s="3" customFormat="1">
      <c r="A84"/>
      <c r="B84" s="15"/>
      <c r="J84" s="4"/>
      <c r="W84" s="20"/>
      <c r="X84"/>
      <c r="Y84"/>
      <c r="Z84"/>
      <c r="AA84"/>
      <c r="AB84"/>
      <c r="AC84"/>
      <c r="AD84"/>
      <c r="AE84"/>
    </row>
    <row r="85" spans="1:31" s="3" customFormat="1">
      <c r="A85"/>
      <c r="B85" s="15"/>
      <c r="J85" s="4"/>
      <c r="W85" s="20"/>
      <c r="X85"/>
      <c r="Y85"/>
      <c r="Z85"/>
      <c r="AA85"/>
      <c r="AB85"/>
      <c r="AC85"/>
      <c r="AD85"/>
      <c r="AE85"/>
    </row>
    <row r="86" spans="1:31" s="3" customFormat="1">
      <c r="A86"/>
      <c r="B86" s="15"/>
      <c r="J86" s="4"/>
      <c r="W86" s="20"/>
      <c r="X86"/>
      <c r="Y86"/>
      <c r="Z86"/>
      <c r="AA86"/>
      <c r="AB86"/>
      <c r="AC86"/>
      <c r="AD86"/>
      <c r="AE86"/>
    </row>
    <row r="87" spans="1:31" s="3" customFormat="1">
      <c r="A87"/>
      <c r="B87" s="15"/>
      <c r="J87" s="4"/>
      <c r="W87" s="20"/>
      <c r="X87"/>
      <c r="Y87"/>
      <c r="Z87"/>
      <c r="AA87"/>
      <c r="AB87"/>
      <c r="AC87"/>
      <c r="AD87"/>
      <c r="AE87"/>
    </row>
    <row r="88" spans="1:31" s="3" customFormat="1">
      <c r="A88"/>
      <c r="B88" s="15"/>
      <c r="J88" s="4"/>
      <c r="W88" s="20"/>
      <c r="X88"/>
      <c r="Y88"/>
      <c r="Z88"/>
      <c r="AA88"/>
      <c r="AB88"/>
      <c r="AC88"/>
      <c r="AD88"/>
      <c r="AE88"/>
    </row>
    <row r="89" spans="1:31" s="3" customFormat="1">
      <c r="A89"/>
      <c r="B89" s="15"/>
      <c r="J89" s="4"/>
      <c r="W89" s="20"/>
      <c r="X89"/>
      <c r="Y89"/>
      <c r="Z89"/>
      <c r="AA89"/>
      <c r="AB89"/>
      <c r="AC89"/>
      <c r="AD89"/>
      <c r="AE89"/>
    </row>
    <row r="90" spans="1:31" s="3" customFormat="1">
      <c r="A90"/>
      <c r="B90" s="15"/>
      <c r="J90" s="4"/>
      <c r="W90" s="20"/>
      <c r="X90"/>
      <c r="Y90"/>
      <c r="Z90"/>
      <c r="AA90"/>
      <c r="AB90"/>
      <c r="AC90"/>
      <c r="AD90"/>
      <c r="AE90"/>
    </row>
    <row r="91" spans="1:31" s="3" customFormat="1">
      <c r="A91"/>
      <c r="B91" s="15"/>
      <c r="J91" s="4"/>
      <c r="W91" s="20"/>
      <c r="X91"/>
      <c r="Y91"/>
      <c r="Z91"/>
      <c r="AA91"/>
      <c r="AB91"/>
      <c r="AC91"/>
      <c r="AD91"/>
      <c r="AE91"/>
    </row>
    <row r="92" spans="1:31" s="3" customFormat="1">
      <c r="A92"/>
      <c r="B92" s="15"/>
      <c r="J92" s="4"/>
      <c r="W92" s="20"/>
      <c r="X92"/>
      <c r="Y92"/>
      <c r="Z92"/>
      <c r="AA92"/>
      <c r="AB92"/>
      <c r="AC92"/>
      <c r="AD92"/>
      <c r="AE92"/>
    </row>
    <row r="93" spans="1:31" s="3" customFormat="1">
      <c r="A93"/>
      <c r="B93" s="15"/>
      <c r="J93" s="4"/>
      <c r="W93" s="20"/>
      <c r="X93"/>
      <c r="Y93"/>
      <c r="Z93"/>
      <c r="AA93"/>
      <c r="AB93"/>
      <c r="AC93"/>
      <c r="AD93"/>
      <c r="AE93"/>
    </row>
    <row r="94" spans="1:31" s="3" customFormat="1">
      <c r="A94"/>
      <c r="B94" s="15"/>
      <c r="J94" s="4"/>
      <c r="W94" s="20"/>
      <c r="X94"/>
      <c r="Y94"/>
      <c r="Z94"/>
      <c r="AA94"/>
      <c r="AB94"/>
      <c r="AC94"/>
      <c r="AD94"/>
      <c r="AE94"/>
    </row>
    <row r="95" spans="1:31" s="3" customFormat="1">
      <c r="A95"/>
      <c r="B95" s="15"/>
      <c r="J95" s="4"/>
      <c r="W95" s="20"/>
      <c r="X95"/>
      <c r="Y95"/>
      <c r="Z95"/>
      <c r="AA95"/>
      <c r="AB95"/>
      <c r="AC95"/>
      <c r="AD95"/>
      <c r="AE95"/>
    </row>
    <row r="96" spans="1:31" s="3" customFormat="1">
      <c r="A96"/>
      <c r="B96" s="15"/>
      <c r="J96" s="4"/>
      <c r="W96" s="20"/>
      <c r="X96"/>
      <c r="Y96"/>
      <c r="Z96"/>
      <c r="AA96"/>
      <c r="AB96"/>
      <c r="AC96"/>
      <c r="AD96"/>
      <c r="AE96"/>
    </row>
    <row r="97" spans="1:31" s="3" customFormat="1">
      <c r="A97"/>
      <c r="B97" s="15"/>
      <c r="J97" s="4"/>
      <c r="W97" s="20"/>
      <c r="X97"/>
      <c r="Y97"/>
      <c r="Z97"/>
      <c r="AA97"/>
      <c r="AB97"/>
      <c r="AC97"/>
      <c r="AD97"/>
      <c r="AE97"/>
    </row>
    <row r="98" spans="1:31" s="3" customFormat="1">
      <c r="A98"/>
      <c r="B98" s="15"/>
      <c r="J98" s="4"/>
      <c r="W98" s="20"/>
      <c r="X98"/>
      <c r="Y98"/>
      <c r="Z98"/>
      <c r="AA98"/>
      <c r="AB98"/>
      <c r="AC98"/>
      <c r="AD98"/>
      <c r="AE98"/>
    </row>
    <row r="99" spans="1:31" s="3" customFormat="1">
      <c r="A99"/>
      <c r="B99" s="15"/>
      <c r="J99" s="4"/>
      <c r="W99" s="20"/>
      <c r="X99"/>
      <c r="Y99"/>
      <c r="Z99"/>
      <c r="AA99"/>
      <c r="AB99"/>
      <c r="AC99"/>
      <c r="AD99"/>
      <c r="AE99"/>
    </row>
    <row r="100" spans="1:31" s="3" customFormat="1">
      <c r="A100"/>
      <c r="B100" s="15"/>
      <c r="J100" s="4"/>
      <c r="W100" s="20"/>
      <c r="X100"/>
      <c r="Y100"/>
      <c r="Z100"/>
      <c r="AA100"/>
      <c r="AB100"/>
      <c r="AC100"/>
      <c r="AD100"/>
      <c r="AE100"/>
    </row>
    <row r="101" spans="1:31" s="3" customFormat="1">
      <c r="A101"/>
      <c r="B101" s="15"/>
      <c r="J101" s="4"/>
      <c r="W101" s="20"/>
      <c r="X101"/>
      <c r="Y101"/>
      <c r="Z101"/>
      <c r="AA101"/>
      <c r="AB101"/>
      <c r="AC101"/>
      <c r="AD101"/>
      <c r="AE101"/>
    </row>
    <row r="102" spans="1:31" s="3" customFormat="1">
      <c r="A102"/>
      <c r="B102" s="15"/>
      <c r="J102" s="4"/>
      <c r="W102" s="20"/>
      <c r="X102"/>
      <c r="Y102"/>
      <c r="Z102"/>
      <c r="AA102"/>
      <c r="AB102"/>
      <c r="AC102"/>
      <c r="AD102"/>
      <c r="AE102"/>
    </row>
    <row r="103" spans="1:31" s="3" customFormat="1">
      <c r="A103"/>
      <c r="B103" s="15"/>
      <c r="J103" s="4"/>
      <c r="W103" s="20"/>
      <c r="X103"/>
      <c r="Y103"/>
      <c r="Z103"/>
      <c r="AA103"/>
      <c r="AB103"/>
      <c r="AC103"/>
      <c r="AD103"/>
      <c r="AE103"/>
    </row>
    <row r="104" spans="1:31" s="3" customFormat="1">
      <c r="A104"/>
      <c r="B104" s="15"/>
      <c r="J104" s="4"/>
      <c r="N104" s="3">
        <v>24</v>
      </c>
      <c r="W104" s="20"/>
      <c r="X104"/>
      <c r="Y104"/>
      <c r="Z104"/>
      <c r="AA104"/>
      <c r="AB104"/>
      <c r="AC104"/>
      <c r="AD104"/>
      <c r="AE104"/>
    </row>
    <row r="105" spans="1:31" s="3" customFormat="1">
      <c r="A105"/>
      <c r="B105" s="15"/>
      <c r="J105" s="4"/>
      <c r="N105" s="3">
        <v>22</v>
      </c>
      <c r="W105" s="20"/>
      <c r="X105"/>
      <c r="Y105"/>
      <c r="Z105"/>
      <c r="AA105"/>
      <c r="AB105"/>
      <c r="AC105"/>
      <c r="AD105"/>
      <c r="AE105"/>
    </row>
    <row r="106" spans="1:31" s="3" customFormat="1">
      <c r="A106"/>
      <c r="B106" s="15"/>
      <c r="J106" s="4"/>
      <c r="N106" s="3">
        <v>19</v>
      </c>
      <c r="W106" s="20"/>
      <c r="X106"/>
      <c r="Y106"/>
      <c r="Z106"/>
      <c r="AA106"/>
      <c r="AB106"/>
      <c r="AC106"/>
      <c r="AD106"/>
      <c r="AE106"/>
    </row>
    <row r="107" spans="1:31" s="3" customFormat="1">
      <c r="A107"/>
      <c r="B107" s="15"/>
      <c r="J107" s="4"/>
      <c r="N107" s="3">
        <v>22</v>
      </c>
      <c r="W107" s="20"/>
      <c r="X107"/>
      <c r="Y107"/>
      <c r="Z107"/>
      <c r="AA107"/>
      <c r="AB107"/>
      <c r="AC107"/>
      <c r="AD107"/>
      <c r="AE107"/>
    </row>
  </sheetData>
  <autoFilter ref="A6:AE47" xr:uid="{7A045005-DCD4-454F-B0EA-E05578B68783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152">
    <mergeCell ref="A1:E4"/>
    <mergeCell ref="F1:Q1"/>
    <mergeCell ref="R1:R3"/>
    <mergeCell ref="S1:T3"/>
    <mergeCell ref="U1:V3"/>
    <mergeCell ref="F2:Q2"/>
    <mergeCell ref="F3:Q3"/>
    <mergeCell ref="F4:Q4"/>
    <mergeCell ref="R4:S4"/>
    <mergeCell ref="T4:U4"/>
    <mergeCell ref="G5:G6"/>
    <mergeCell ref="H5:H6"/>
    <mergeCell ref="I5:I6"/>
    <mergeCell ref="J5:J6"/>
    <mergeCell ref="K5:K6"/>
    <mergeCell ref="L5:O5"/>
    <mergeCell ref="A5:A6"/>
    <mergeCell ref="B5:B6"/>
    <mergeCell ref="C5:C6"/>
    <mergeCell ref="D5:D6"/>
    <mergeCell ref="E5:E6"/>
    <mergeCell ref="F5:F6"/>
    <mergeCell ref="P5:Q5"/>
    <mergeCell ref="R5:S5"/>
    <mergeCell ref="T5:U5"/>
    <mergeCell ref="L6:V6"/>
    <mergeCell ref="L7:L8"/>
    <mergeCell ref="M7:R8"/>
    <mergeCell ref="S7:S8"/>
    <mergeCell ref="T7:U8"/>
    <mergeCell ref="V7:V8"/>
    <mergeCell ref="W11:W14"/>
    <mergeCell ref="Z12:AE13"/>
    <mergeCell ref="AF12:AF13"/>
    <mergeCell ref="AG12:AH13"/>
    <mergeCell ref="M15:R15"/>
    <mergeCell ref="T15:U15"/>
    <mergeCell ref="L9:L10"/>
    <mergeCell ref="M9:R10"/>
    <mergeCell ref="S9:S10"/>
    <mergeCell ref="T9:U10"/>
    <mergeCell ref="V9:V10"/>
    <mergeCell ref="L11:L14"/>
    <mergeCell ref="M11:R14"/>
    <mergeCell ref="S11:S14"/>
    <mergeCell ref="T11:U14"/>
    <mergeCell ref="V11:V14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W18:W19"/>
    <mergeCell ref="L20:L24"/>
    <mergeCell ref="W20:W24"/>
    <mergeCell ref="M16:R17"/>
    <mergeCell ref="S16:S17"/>
    <mergeCell ref="T16:U17"/>
    <mergeCell ref="V16:V17"/>
    <mergeCell ref="L18:L19"/>
    <mergeCell ref="M18:R19"/>
    <mergeCell ref="S18:S19"/>
    <mergeCell ref="T18:U19"/>
    <mergeCell ref="V18:V19"/>
    <mergeCell ref="M20:R24"/>
    <mergeCell ref="T20:U24"/>
    <mergeCell ref="S20:S24"/>
    <mergeCell ref="V20:V24"/>
    <mergeCell ref="L25:L29"/>
    <mergeCell ref="W25:W29"/>
    <mergeCell ref="L30:V30"/>
    <mergeCell ref="M31:R31"/>
    <mergeCell ref="W31:W34"/>
    <mergeCell ref="L32:L33"/>
    <mergeCell ref="M32:R33"/>
    <mergeCell ref="S32:S33"/>
    <mergeCell ref="T32:U33"/>
    <mergeCell ref="M25:R29"/>
    <mergeCell ref="S25:S29"/>
    <mergeCell ref="T25:U29"/>
    <mergeCell ref="V25:V29"/>
    <mergeCell ref="A36:N36"/>
    <mergeCell ref="O36:V36"/>
    <mergeCell ref="C37:D37"/>
    <mergeCell ref="E37:G37"/>
    <mergeCell ref="H37:J37"/>
    <mergeCell ref="K37:N37"/>
    <mergeCell ref="O37:R37"/>
    <mergeCell ref="V32:V33"/>
    <mergeCell ref="L34:L35"/>
    <mergeCell ref="M34:R35"/>
    <mergeCell ref="T34:U34"/>
    <mergeCell ref="A35:B35"/>
    <mergeCell ref="F35:G35"/>
    <mergeCell ref="C38:D38"/>
    <mergeCell ref="E38:G38"/>
    <mergeCell ref="H38:J38"/>
    <mergeCell ref="K38:N38"/>
    <mergeCell ref="O38:R38"/>
    <mergeCell ref="C39:D39"/>
    <mergeCell ref="E39:G39"/>
    <mergeCell ref="H39:J39"/>
    <mergeCell ref="K39:N39"/>
    <mergeCell ref="O39:R39"/>
    <mergeCell ref="C40:D40"/>
    <mergeCell ref="E40:G40"/>
    <mergeCell ref="H40:J40"/>
    <mergeCell ref="K40:N40"/>
    <mergeCell ref="O40:R40"/>
    <mergeCell ref="C41:D41"/>
    <mergeCell ref="E41:G41"/>
    <mergeCell ref="H41:J41"/>
    <mergeCell ref="K41:N41"/>
    <mergeCell ref="O41:V41"/>
    <mergeCell ref="C45:D45"/>
    <mergeCell ref="E45:G45"/>
    <mergeCell ref="H45:J45"/>
    <mergeCell ref="K45:N45"/>
    <mergeCell ref="O45:V45"/>
    <mergeCell ref="C42:D42"/>
    <mergeCell ref="E42:G42"/>
    <mergeCell ref="H42:J42"/>
    <mergeCell ref="K42:N42"/>
    <mergeCell ref="O42:V42"/>
    <mergeCell ref="C43:D43"/>
    <mergeCell ref="E43:G43"/>
    <mergeCell ref="H43:J43"/>
    <mergeCell ref="K43:N43"/>
    <mergeCell ref="O43:V43"/>
    <mergeCell ref="A48:V48"/>
    <mergeCell ref="A49:N49"/>
    <mergeCell ref="O49:V49"/>
    <mergeCell ref="A50:N54"/>
    <mergeCell ref="O50:V54"/>
    <mergeCell ref="C46:D46"/>
    <mergeCell ref="E46:G46"/>
    <mergeCell ref="H46:J46"/>
    <mergeCell ref="K46:N46"/>
    <mergeCell ref="O46:V46"/>
    <mergeCell ref="A47:V47"/>
    <mergeCell ref="C44:D44"/>
    <mergeCell ref="E44:G44"/>
    <mergeCell ref="H44:J44"/>
    <mergeCell ref="K44:N44"/>
    <mergeCell ref="O44:V44"/>
  </mergeCells>
  <printOptions horizontalCentered="1"/>
  <pageMargins left="0.25" right="0.25" top="0" bottom="2.25" header="0" footer="0"/>
  <pageSetup paperSize="5"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30</vt:i4>
      </vt:variant>
    </vt:vector>
  </HeadingPairs>
  <TitlesOfParts>
    <vt:vector size="60" baseType="lpstr">
      <vt:lpstr>1404-08-01</vt:lpstr>
      <vt:lpstr>1404-08-02</vt:lpstr>
      <vt:lpstr>1404-08-03</vt:lpstr>
      <vt:lpstr>1404-08-04</vt:lpstr>
      <vt:lpstr>1404-08-05</vt:lpstr>
      <vt:lpstr>1404-08-06</vt:lpstr>
      <vt:lpstr>1404-08-07</vt:lpstr>
      <vt:lpstr>1404-08-08</vt:lpstr>
      <vt:lpstr>1404-08-09</vt:lpstr>
      <vt:lpstr>1404-08-10</vt:lpstr>
      <vt:lpstr>1404-08-11</vt:lpstr>
      <vt:lpstr>1404-08-12</vt:lpstr>
      <vt:lpstr>1404-08-13</vt:lpstr>
      <vt:lpstr>1404-08-14</vt:lpstr>
      <vt:lpstr>1404-08-15</vt:lpstr>
      <vt:lpstr>1404-08-16</vt:lpstr>
      <vt:lpstr>1404-08-17</vt:lpstr>
      <vt:lpstr>1404-08-18</vt:lpstr>
      <vt:lpstr>1404-08-19</vt:lpstr>
      <vt:lpstr>1404-08-20</vt:lpstr>
      <vt:lpstr>1404-08-21</vt:lpstr>
      <vt:lpstr>1404-08-22</vt:lpstr>
      <vt:lpstr>1404-08-23</vt:lpstr>
      <vt:lpstr>1404-08-24</vt:lpstr>
      <vt:lpstr>1404-08-25</vt:lpstr>
      <vt:lpstr>1404-08-26</vt:lpstr>
      <vt:lpstr>1404-08.27</vt:lpstr>
      <vt:lpstr>1404-08.28</vt:lpstr>
      <vt:lpstr>1404-08.29</vt:lpstr>
      <vt:lpstr>1404-08.30</vt:lpstr>
      <vt:lpstr>'1404-08.27'!Print_Area</vt:lpstr>
      <vt:lpstr>'1404-08.28'!Print_Area</vt:lpstr>
      <vt:lpstr>'1404-08.29'!Print_Area</vt:lpstr>
      <vt:lpstr>'1404-08.30'!Print_Area</vt:lpstr>
      <vt:lpstr>'1404-08-01'!Print_Area</vt:lpstr>
      <vt:lpstr>'1404-08-02'!Print_Area</vt:lpstr>
      <vt:lpstr>'1404-08-03'!Print_Area</vt:lpstr>
      <vt:lpstr>'1404-08-04'!Print_Area</vt:lpstr>
      <vt:lpstr>'1404-08-05'!Print_Area</vt:lpstr>
      <vt:lpstr>'1404-08-06'!Print_Area</vt:lpstr>
      <vt:lpstr>'1404-08-07'!Print_Area</vt:lpstr>
      <vt:lpstr>'1404-08-08'!Print_Area</vt:lpstr>
      <vt:lpstr>'1404-08-09'!Print_Area</vt:lpstr>
      <vt:lpstr>'1404-08-10'!Print_Area</vt:lpstr>
      <vt:lpstr>'1404-08-11'!Print_Area</vt:lpstr>
      <vt:lpstr>'1404-08-12'!Print_Area</vt:lpstr>
      <vt:lpstr>'1404-08-13'!Print_Area</vt:lpstr>
      <vt:lpstr>'1404-08-14'!Print_Area</vt:lpstr>
      <vt:lpstr>'1404-08-15'!Print_Area</vt:lpstr>
      <vt:lpstr>'1404-08-16'!Print_Area</vt:lpstr>
      <vt:lpstr>'1404-08-17'!Print_Area</vt:lpstr>
      <vt:lpstr>'1404-08-18'!Print_Area</vt:lpstr>
      <vt:lpstr>'1404-08-19'!Print_Area</vt:lpstr>
      <vt:lpstr>'1404-08-20'!Print_Area</vt:lpstr>
      <vt:lpstr>'1404-08-21'!Print_Area</vt:lpstr>
      <vt:lpstr>'1404-08-22'!Print_Area</vt:lpstr>
      <vt:lpstr>'1404-08-23'!Print_Area</vt:lpstr>
      <vt:lpstr>'1404-08-24'!Print_Area</vt:lpstr>
      <vt:lpstr>'1404-08-25'!Print_Area</vt:lpstr>
      <vt:lpstr>'1404-08-26'!Print_Area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روزانه</dc:title>
  <dc:creator>Mehraban</dc:creator>
  <cp:lastModifiedBy>Farid</cp:lastModifiedBy>
  <cp:lastPrinted>2025-11-22T05:26:07Z</cp:lastPrinted>
  <dcterms:created xsi:type="dcterms:W3CDTF">2011-01-02T08:56:49Z</dcterms:created>
  <dcterms:modified xsi:type="dcterms:W3CDTF">2025-11-22T06:24:47Z</dcterms:modified>
</cp:coreProperties>
</file>