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8D11E4EA-CA2A-4405-AEB4-4DFD6682DE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W28" i="1" l="1"/>
  <c r="AW29" i="1"/>
  <c r="AW30" i="1"/>
  <c r="AW31" i="1"/>
  <c r="AW34" i="1"/>
  <c r="AW35" i="1"/>
  <c r="AU31" i="1"/>
  <c r="AR28" i="1"/>
  <c r="AR29" i="1"/>
  <c r="AR30" i="1"/>
  <c r="AR31" i="1"/>
  <c r="AR34" i="1"/>
  <c r="AR35" i="1"/>
  <c r="AS28" i="1"/>
  <c r="AS30" i="1"/>
  <c r="BM139" i="1"/>
  <c r="BL139" i="1"/>
  <c r="AN139" i="1"/>
  <c r="AM139" i="1" s="1"/>
  <c r="BN137" i="1"/>
  <c r="AO137" i="1"/>
  <c r="BM133" i="1"/>
  <c r="BL133" i="1"/>
  <c r="AN133" i="1"/>
  <c r="AM133" i="1" s="1"/>
  <c r="BN131" i="1"/>
  <c r="AO131" i="1"/>
  <c r="BN129" i="1"/>
  <c r="AO129" i="1"/>
  <c r="BM124" i="1"/>
  <c r="AN122" i="1"/>
  <c r="BM120" i="1"/>
  <c r="AN120" i="1"/>
  <c r="AN124" i="1" s="1"/>
  <c r="BM118" i="1"/>
  <c r="BM116" i="1"/>
  <c r="AN114" i="1"/>
  <c r="BM112" i="1"/>
  <c r="BM114" i="1" s="1"/>
  <c r="AN112" i="1"/>
  <c r="AN118" i="1" s="1"/>
  <c r="BM108" i="1"/>
  <c r="AN108" i="1"/>
  <c r="BM102" i="1"/>
  <c r="AN102" i="1"/>
  <c r="BM89" i="1"/>
  <c r="AN89" i="1"/>
  <c r="BM81" i="1"/>
  <c r="AN81" i="1"/>
  <c r="BM77" i="1"/>
  <c r="AN77" i="1"/>
  <c r="BM71" i="1"/>
  <c r="AN71" i="1"/>
  <c r="T62" i="1"/>
  <c r="S62" i="1"/>
  <c r="N62" i="1"/>
  <c r="M62" i="1"/>
  <c r="L62" i="1"/>
  <c r="BN60" i="1"/>
  <c r="AO60" i="1"/>
  <c r="U60" i="1"/>
  <c r="T58" i="1"/>
  <c r="M58" i="1"/>
  <c r="S56" i="1"/>
  <c r="N56" i="1"/>
  <c r="L56" i="1"/>
  <c r="BN54" i="1"/>
  <c r="AO54" i="1"/>
  <c r="U54" i="1"/>
  <c r="BN52" i="1"/>
  <c r="AO52" i="1"/>
  <c r="U52" i="1"/>
  <c r="T50" i="1"/>
  <c r="T56" i="1" s="1"/>
  <c r="M50" i="1"/>
  <c r="M56" i="1" s="1"/>
  <c r="H47" i="1"/>
  <c r="G47" i="1"/>
  <c r="F47" i="1"/>
  <c r="AF47" i="1" s="1"/>
  <c r="E47" i="1"/>
  <c r="D47" i="1"/>
  <c r="BI34" i="1"/>
  <c r="BH34" i="1"/>
  <c r="AO31" i="1"/>
  <c r="AO30" i="1"/>
  <c r="AN30" i="1"/>
  <c r="AH31" i="1"/>
  <c r="AC31" i="1"/>
  <c r="AB31" i="1"/>
  <c r="AC30" i="1"/>
  <c r="AB30" i="1"/>
  <c r="AC29" i="1"/>
  <c r="AB29" i="1"/>
  <c r="AC28" i="1"/>
  <c r="AB28" i="1"/>
  <c r="AB27" i="1"/>
  <c r="AB26" i="1"/>
  <c r="AB25" i="1"/>
  <c r="F25" i="1"/>
  <c r="AT47" i="1" s="1"/>
  <c r="BL47" i="1" s="1"/>
  <c r="AB24" i="1"/>
  <c r="F24" i="1"/>
  <c r="L20" i="1" s="1"/>
  <c r="AB23" i="1"/>
  <c r="F23" i="1"/>
  <c r="AM47" i="1" s="1"/>
  <c r="F22" i="1"/>
  <c r="AL47" i="1" s="1"/>
  <c r="BD16" i="1"/>
  <c r="BA16" i="1"/>
  <c r="AW16" i="1"/>
  <c r="BD15" i="1"/>
  <c r="BI33" i="1" s="1"/>
  <c r="BA15" i="1"/>
  <c r="BD12" i="1"/>
  <c r="BI30" i="1" s="1"/>
  <c r="BA12" i="1"/>
  <c r="AY12" i="1"/>
  <c r="AU12" i="1"/>
  <c r="AT12" i="1"/>
  <c r="AN12" i="1"/>
  <c r="AN31" i="1" s="1"/>
  <c r="AK12" i="1"/>
  <c r="AI12" i="1"/>
  <c r="AF31" i="1" s="1"/>
  <c r="AE12" i="1"/>
  <c r="AD12" i="1"/>
  <c r="K12" i="1"/>
  <c r="C12" i="1"/>
  <c r="G25" i="1" s="1"/>
  <c r="BD11" i="1"/>
  <c r="BI29" i="1" s="1"/>
  <c r="BA11" i="1"/>
  <c r="AS11" i="1"/>
  <c r="AN11" i="1"/>
  <c r="AK11" i="1"/>
  <c r="AH30" i="1" s="1"/>
  <c r="AC11" i="1"/>
  <c r="BD10" i="1"/>
  <c r="BA10" i="1"/>
  <c r="AN10" i="1"/>
  <c r="AO29" i="1" s="1"/>
  <c r="AK10" i="1"/>
  <c r="AH29" i="1" s="1"/>
  <c r="BD9" i="1"/>
  <c r="BA9" i="1"/>
  <c r="AS9" i="1"/>
  <c r="AN9" i="1"/>
  <c r="AO28" i="1" s="1"/>
  <c r="AK9" i="1"/>
  <c r="AH28" i="1" s="1"/>
  <c r="AC9" i="1"/>
  <c r="N9" i="1"/>
  <c r="H9" i="1"/>
  <c r="F9" i="1"/>
  <c r="AP8" i="1"/>
  <c r="Z8" i="1"/>
  <c r="G8" i="1"/>
  <c r="AE7" i="1"/>
  <c r="C6" i="1"/>
  <c r="AP5" i="1"/>
  <c r="Z5" i="1"/>
  <c r="AC12" i="1" s="1"/>
  <c r="AP4" i="1"/>
  <c r="AH4" i="1"/>
  <c r="AD5" i="1" s="1"/>
  <c r="Z4" i="1"/>
  <c r="G4" i="1"/>
  <c r="T3" i="1"/>
  <c r="I47" i="1" s="1"/>
  <c r="R3" i="1"/>
  <c r="AB6" i="1" l="1"/>
  <c r="AC25" i="1" s="1"/>
  <c r="AC6" i="1"/>
  <c r="AD25" i="1" s="1"/>
  <c r="AD4" i="1"/>
  <c r="AH5" i="1" s="1"/>
  <c r="AD31" i="1"/>
  <c r="AJ12" i="1"/>
  <c r="AN87" i="1"/>
  <c r="AN83" i="1"/>
  <c r="H18" i="1"/>
  <c r="AX7" i="1"/>
  <c r="AT4" i="1"/>
  <c r="AS6" i="1"/>
  <c r="AS25" i="1" s="1"/>
  <c r="AB7" i="1"/>
  <c r="AD28" i="1"/>
  <c r="AD10" i="1"/>
  <c r="AP10" i="1"/>
  <c r="AP11" i="1" s="1"/>
  <c r="AW4" i="1" s="1"/>
  <c r="AU5" i="1" s="1"/>
  <c r="G22" i="1"/>
  <c r="I14" i="1"/>
  <c r="I16" i="1" s="1"/>
  <c r="G23" i="1"/>
  <c r="AH13" i="1"/>
  <c r="E14" i="1"/>
  <c r="E16" i="1" s="1"/>
  <c r="L21" i="1"/>
  <c r="G24" i="1"/>
  <c r="BM87" i="1"/>
  <c r="BM83" i="1"/>
  <c r="BM85" i="1"/>
  <c r="AN93" i="1"/>
  <c r="AN91" i="1"/>
  <c r="AB4" i="1"/>
  <c r="AB8" i="1"/>
  <c r="AR8" i="1"/>
  <c r="AR27" i="1" s="1"/>
  <c r="AE10" i="1"/>
  <c r="AT10" i="1"/>
  <c r="AP12" i="1"/>
  <c r="AT16" i="1" s="1"/>
  <c r="AY16" i="1" s="1"/>
  <c r="AU35" i="1" s="1"/>
  <c r="BM93" i="1"/>
  <c r="J8" i="1"/>
  <c r="J9" i="1" s="1"/>
  <c r="I9" i="1" s="1"/>
  <c r="AV4" i="1"/>
  <c r="AV5" i="1" s="1"/>
  <c r="AD13" i="1"/>
  <c r="AI13" i="1" s="1"/>
  <c r="AC13" i="1"/>
  <c r="AJ13" i="1" s="1"/>
  <c r="AB13" i="1"/>
  <c r="AF10" i="1"/>
  <c r="AD7" i="1"/>
  <c r="AC8" i="1"/>
  <c r="AS8" i="1"/>
  <c r="AS27" i="1" s="1"/>
  <c r="AG10" i="1"/>
  <c r="AU10" i="1"/>
  <c r="AR14" i="1"/>
  <c r="AR33" i="1" s="1"/>
  <c r="J19" i="1"/>
  <c r="BH30" i="1"/>
  <c r="AR7" i="1"/>
  <c r="AR26" i="1" s="1"/>
  <c r="AV10" i="1"/>
  <c r="F18" i="1"/>
  <c r="AN29" i="1"/>
  <c r="AT13" i="1"/>
  <c r="AR13" i="1"/>
  <c r="AR32" i="1" s="1"/>
  <c r="AS15" i="1"/>
  <c r="AS34" i="1" s="1"/>
  <c r="AS12" i="1"/>
  <c r="AR6" i="1"/>
  <c r="AR25" i="1" s="1"/>
  <c r="AX4" i="1"/>
  <c r="AT5" i="1" s="1"/>
  <c r="AH7" i="1"/>
  <c r="BI27" i="1"/>
  <c r="BH27" i="1"/>
  <c r="AW10" i="1"/>
  <c r="AD30" i="1"/>
  <c r="J18" i="1"/>
  <c r="BH33" i="1"/>
  <c r="AS47" i="1"/>
  <c r="AF4" i="1"/>
  <c r="AF5" i="1" s="1"/>
  <c r="Z6" i="1"/>
  <c r="AT7" i="1"/>
  <c r="D8" i="1"/>
  <c r="D9" i="1" s="1"/>
  <c r="E9" i="1" s="1"/>
  <c r="AN28" i="1"/>
  <c r="AD11" i="1"/>
  <c r="AI11" i="1" s="1"/>
  <c r="AF30" i="1" s="1"/>
  <c r="AX13" i="1"/>
  <c r="AX14" i="1" s="1"/>
  <c r="L18" i="1"/>
  <c r="BH28" i="1"/>
  <c r="AN85" i="1"/>
  <c r="BM91" i="1"/>
  <c r="AR4" i="1"/>
  <c r="AR23" i="1" s="1"/>
  <c r="AP6" i="1"/>
  <c r="AP13" i="1" s="1"/>
  <c r="AU7" i="1"/>
  <c r="Z10" i="1"/>
  <c r="Z11" i="1" s="1"/>
  <c r="AG4" i="1" s="1"/>
  <c r="AE5" i="1" s="1"/>
  <c r="BI28" i="1"/>
  <c r="AN116" i="1"/>
  <c r="L19" i="1"/>
  <c r="BH29" i="1"/>
  <c r="AE47" i="1"/>
  <c r="BM122" i="1"/>
  <c r="AU4" i="1" l="1"/>
  <c r="AW5" i="1" s="1"/>
  <c r="AY5" i="1" s="1"/>
  <c r="AU24" i="1" s="1"/>
  <c r="AT11" i="1"/>
  <c r="AY11" i="1" s="1"/>
  <c r="AJ11" i="1"/>
  <c r="AI7" i="1"/>
  <c r="AF26" i="1" s="1"/>
  <c r="AZ12" i="1"/>
  <c r="AS31" i="1"/>
  <c r="AY7" i="1"/>
  <c r="AU26" i="1" s="1"/>
  <c r="AN6" i="1"/>
  <c r="AK6" i="1"/>
  <c r="AH25" i="1" s="1"/>
  <c r="BD7" i="1"/>
  <c r="BA7" i="1"/>
  <c r="AW26" i="1" s="1"/>
  <c r="AN13" i="1"/>
  <c r="AK13" i="1"/>
  <c r="AL13" i="1" s="1"/>
  <c r="AK7" i="1"/>
  <c r="AH26" i="1" s="1"/>
  <c r="AC26" i="1"/>
  <c r="AN7" i="1"/>
  <c r="BD47" i="1"/>
  <c r="BK47" i="1"/>
  <c r="BE47" i="1"/>
  <c r="BD6" i="1"/>
  <c r="BA6" i="1"/>
  <c r="AW25" i="1" s="1"/>
  <c r="AN4" i="1"/>
  <c r="AB5" i="1"/>
  <c r="AC23" i="1"/>
  <c r="AK4" i="1"/>
  <c r="AH23" i="1" s="1"/>
  <c r="AX5" i="1"/>
  <c r="AD27" i="1"/>
  <c r="M9" i="1"/>
  <c r="M11" i="1" s="1"/>
  <c r="I11" i="1"/>
  <c r="M18" i="1" s="1"/>
  <c r="J22" i="1" s="1"/>
  <c r="AY10" i="1"/>
  <c r="AU29" i="1" s="1"/>
  <c r="BD13" i="1"/>
  <c r="BA13" i="1"/>
  <c r="AW32" i="1" s="1"/>
  <c r="AI10" i="1"/>
  <c r="AF29" i="1" s="1"/>
  <c r="BA4" i="1"/>
  <c r="AW23" i="1" s="1"/>
  <c r="BD4" i="1"/>
  <c r="AR5" i="1"/>
  <c r="AR24" i="1" s="1"/>
  <c r="AM11" i="1"/>
  <c r="AG30" i="1"/>
  <c r="AE4" i="1"/>
  <c r="AT14" i="1"/>
  <c r="AY14" i="1" s="1"/>
  <c r="AU33" i="1" s="1"/>
  <c r="AY13" i="1"/>
  <c r="AU32" i="1" s="1"/>
  <c r="Z7" i="1"/>
  <c r="AP7" i="1"/>
  <c r="F19" i="1"/>
  <c r="J47" i="1"/>
  <c r="BA8" i="1"/>
  <c r="AW27" i="1" s="1"/>
  <c r="BD8" i="1"/>
  <c r="H19" i="1"/>
  <c r="AG31" i="1"/>
  <c r="AM12" i="1"/>
  <c r="M10" i="1"/>
  <c r="E11" i="1"/>
  <c r="M20" i="1" s="1"/>
  <c r="BA14" i="1"/>
  <c r="AW33" i="1" s="1"/>
  <c r="BD14" i="1"/>
  <c r="AK8" i="1"/>
  <c r="AH27" i="1" s="1"/>
  <c r="AC27" i="1"/>
  <c r="AN8" i="1"/>
  <c r="AO25" i="1" l="1"/>
  <c r="AM25" i="1"/>
  <c r="AY4" i="1"/>
  <c r="AU23" i="1" s="1"/>
  <c r="BC12" i="1"/>
  <c r="AV31" i="1"/>
  <c r="AZ11" i="1"/>
  <c r="AU30" i="1"/>
  <c r="BI31" i="1"/>
  <c r="BG31" i="1"/>
  <c r="BI24" i="1"/>
  <c r="BG24" i="1"/>
  <c r="AJ31" i="1"/>
  <c r="AM31" i="1"/>
  <c r="AD8" i="1"/>
  <c r="AI8" i="1" s="1"/>
  <c r="AC4" i="1"/>
  <c r="AD9" i="1"/>
  <c r="AI9" i="1" s="1"/>
  <c r="AD6" i="1"/>
  <c r="AI6" i="1" s="1"/>
  <c r="AC10" i="1"/>
  <c r="BD5" i="1"/>
  <c r="BA5" i="1"/>
  <c r="AW24" i="1" s="1"/>
  <c r="AO32" i="1"/>
  <c r="AM32" i="1"/>
  <c r="AN32" i="1"/>
  <c r="AN27" i="1"/>
  <c r="AO27" i="1"/>
  <c r="AT15" i="1"/>
  <c r="AY15" i="1" s="1"/>
  <c r="AS10" i="1"/>
  <c r="AT9" i="1"/>
  <c r="AY9" i="1" s="1"/>
  <c r="AT8" i="1"/>
  <c r="AY8" i="1" s="1"/>
  <c r="AT6" i="1"/>
  <c r="AY6" i="1" s="1"/>
  <c r="AS4" i="1"/>
  <c r="AS23" i="1" s="1"/>
  <c r="AS13" i="1"/>
  <c r="AS14" i="1"/>
  <c r="AS16" i="1"/>
  <c r="BG22" i="1"/>
  <c r="M19" i="1"/>
  <c r="Q26" i="1"/>
  <c r="Q31" i="1"/>
  <c r="Q28" i="1"/>
  <c r="Q27" i="1"/>
  <c r="AK47" i="1"/>
  <c r="Q30" i="1"/>
  <c r="Q29" i="1"/>
  <c r="K47" i="1"/>
  <c r="O9" i="1"/>
  <c r="BI25" i="1"/>
  <c r="BH25" i="1"/>
  <c r="BI32" i="1"/>
  <c r="BG32" i="1"/>
  <c r="AC24" i="1"/>
  <c r="AN5" i="1"/>
  <c r="AK5" i="1"/>
  <c r="AH24" i="1" s="1"/>
  <c r="BI26" i="1"/>
  <c r="BH26" i="1"/>
  <c r="AG5" i="1"/>
  <c r="AI5" i="1" s="1"/>
  <c r="AF24" i="1" s="1"/>
  <c r="AI4" i="1"/>
  <c r="AF23" i="1" s="1"/>
  <c r="AM23" i="1"/>
  <c r="AN26" i="1"/>
  <c r="AO26" i="1"/>
  <c r="Q37" i="1"/>
  <c r="Q39" i="1"/>
  <c r="Q40" i="1"/>
  <c r="Q35" i="1"/>
  <c r="Q36" i="1"/>
  <c r="Q38" i="1"/>
  <c r="AR47" i="1"/>
  <c r="M21" i="1"/>
  <c r="X47" i="1"/>
  <c r="W47" i="1"/>
  <c r="V47" i="1"/>
  <c r="AI47" i="1"/>
  <c r="AJ47" i="1"/>
  <c r="AH47" i="1"/>
  <c r="AD47" i="1"/>
  <c r="AB47" i="1"/>
  <c r="AA47" i="1"/>
  <c r="AC47" i="1"/>
  <c r="AJ30" i="1"/>
  <c r="AM15" i="1"/>
  <c r="AM30" i="1"/>
  <c r="J24" i="1"/>
  <c r="AZ13" i="1" l="1"/>
  <c r="AS32" i="1"/>
  <c r="AZ6" i="1"/>
  <c r="AU25" i="1"/>
  <c r="AZ8" i="1"/>
  <c r="AU27" i="1"/>
  <c r="BC11" i="1"/>
  <c r="AV30" i="1"/>
  <c r="AZ9" i="1"/>
  <c r="AU28" i="1"/>
  <c r="AZ10" i="1"/>
  <c r="AS29" i="1"/>
  <c r="AY31" i="1"/>
  <c r="BG30" i="1"/>
  <c r="AZ16" i="1"/>
  <c r="AS35" i="1"/>
  <c r="AZ15" i="1"/>
  <c r="AU34" i="1"/>
  <c r="AZ14" i="1"/>
  <c r="AS33" i="1"/>
  <c r="T27" i="1"/>
  <c r="S27" i="1"/>
  <c r="R27" i="1"/>
  <c r="U27" i="1"/>
  <c r="T40" i="1"/>
  <c r="R40" i="1"/>
  <c r="U40" i="1"/>
  <c r="S40" i="1"/>
  <c r="R28" i="1"/>
  <c r="U28" i="1"/>
  <c r="T28" i="1"/>
  <c r="S28" i="1"/>
  <c r="J25" i="1"/>
  <c r="AM24" i="1"/>
  <c r="T31" i="1"/>
  <c r="S31" i="1"/>
  <c r="R31" i="1"/>
  <c r="U31" i="1"/>
  <c r="BG23" i="1"/>
  <c r="S39" i="1"/>
  <c r="U39" i="1"/>
  <c r="T39" i="1"/>
  <c r="R39" i="1"/>
  <c r="Q60" i="1"/>
  <c r="Z47" i="1"/>
  <c r="J60" i="1"/>
  <c r="U59" i="1"/>
  <c r="T60" i="1" s="1"/>
  <c r="Q54" i="1"/>
  <c r="U51" i="1"/>
  <c r="Q51" i="1" s="1"/>
  <c r="O59" i="1"/>
  <c r="M60" i="1" s="1"/>
  <c r="J54" i="1"/>
  <c r="W58" i="1"/>
  <c r="Y47" i="1"/>
  <c r="O51" i="1"/>
  <c r="J51" i="1" s="1"/>
  <c r="W50" i="1"/>
  <c r="R26" i="1"/>
  <c r="U26" i="1"/>
  <c r="T26" i="1"/>
  <c r="S26" i="1"/>
  <c r="AD29" i="1"/>
  <c r="AJ10" i="1"/>
  <c r="AJ33" i="1"/>
  <c r="AG47" i="1"/>
  <c r="BJ47" i="1"/>
  <c r="AF25" i="1"/>
  <c r="AJ6" i="1"/>
  <c r="R38" i="1"/>
  <c r="S38" i="1"/>
  <c r="U38" i="1"/>
  <c r="T38" i="1"/>
  <c r="U37" i="1"/>
  <c r="T37" i="1"/>
  <c r="S37" i="1"/>
  <c r="R37" i="1"/>
  <c r="T29" i="1"/>
  <c r="S29" i="1"/>
  <c r="R29" i="1"/>
  <c r="U29" i="1"/>
  <c r="AF28" i="1"/>
  <c r="AJ9" i="1"/>
  <c r="U36" i="1"/>
  <c r="T36" i="1"/>
  <c r="S36" i="1"/>
  <c r="R36" i="1"/>
  <c r="R30" i="1"/>
  <c r="U30" i="1"/>
  <c r="T30" i="1"/>
  <c r="S30" i="1"/>
  <c r="S19" i="1"/>
  <c r="J23" i="1"/>
  <c r="AZ4" i="1"/>
  <c r="AS7" i="1"/>
  <c r="AS5" i="1"/>
  <c r="AC5" i="1"/>
  <c r="AD23" i="1"/>
  <c r="AC7" i="1"/>
  <c r="AJ4" i="1"/>
  <c r="U35" i="1"/>
  <c r="S35" i="1"/>
  <c r="R35" i="1"/>
  <c r="T35" i="1"/>
  <c r="AQ89" i="1"/>
  <c r="AQ81" i="1"/>
  <c r="AO59" i="1"/>
  <c r="AQ50" i="1"/>
  <c r="AO136" i="1"/>
  <c r="AN137" i="1" s="1"/>
  <c r="AM108" i="1"/>
  <c r="AM71" i="1"/>
  <c r="AW58" i="1"/>
  <c r="AQ120" i="1"/>
  <c r="AQ112" i="1"/>
  <c r="AQ135" i="1"/>
  <c r="AQ96" i="1"/>
  <c r="AQ73" i="1"/>
  <c r="AO128" i="1"/>
  <c r="AQ127" i="1"/>
  <c r="AM102" i="1"/>
  <c r="AM77" i="1"/>
  <c r="AQ65" i="1"/>
  <c r="AQ58" i="1"/>
  <c r="AQ104" i="1"/>
  <c r="AW50" i="1"/>
  <c r="AO51" i="1"/>
  <c r="AO97" i="1"/>
  <c r="AO98" i="1" s="1"/>
  <c r="AS97" i="1" s="1"/>
  <c r="AO66" i="1"/>
  <c r="AO105" i="1"/>
  <c r="AO74" i="1"/>
  <c r="AF27" i="1"/>
  <c r="AJ8" i="1"/>
  <c r="S18" i="1" l="1"/>
  <c r="AQ47" i="1" s="1"/>
  <c r="U19" i="1"/>
  <c r="U21" i="1"/>
  <c r="S20" i="1"/>
  <c r="AX47" i="1" s="1"/>
  <c r="BP47" i="1" s="1"/>
  <c r="BB4" i="1"/>
  <c r="AV23" i="1"/>
  <c r="BB8" i="1"/>
  <c r="AV27" i="1"/>
  <c r="J52" i="1"/>
  <c r="BB14" i="1"/>
  <c r="AV33" i="1"/>
  <c r="BB10" i="1"/>
  <c r="AV29" i="1"/>
  <c r="BB6" i="1"/>
  <c r="AV25" i="1"/>
  <c r="AY30" i="1"/>
  <c r="BC18" i="1"/>
  <c r="AY37" i="1" s="1"/>
  <c r="BG29" i="1"/>
  <c r="BB16" i="1"/>
  <c r="AV35" i="1"/>
  <c r="AZ5" i="1"/>
  <c r="AS24" i="1"/>
  <c r="AZ7" i="1"/>
  <c r="AS26" i="1"/>
  <c r="J59" i="1"/>
  <c r="BB15" i="1"/>
  <c r="AV34" i="1"/>
  <c r="BB9" i="1"/>
  <c r="AV28" i="1"/>
  <c r="BB13" i="1"/>
  <c r="AV32" i="1"/>
  <c r="Q52" i="1"/>
  <c r="AG27" i="1"/>
  <c r="AL8" i="1"/>
  <c r="AZ64" i="1"/>
  <c r="AZ65" i="1"/>
  <c r="AZ66" i="1"/>
  <c r="AO67" i="1"/>
  <c r="AS66" i="1" s="1"/>
  <c r="W35" i="1"/>
  <c r="V35" i="1"/>
  <c r="AL9" i="1"/>
  <c r="AG28" i="1"/>
  <c r="W37" i="1"/>
  <c r="V37" i="1"/>
  <c r="W39" i="1"/>
  <c r="V39" i="1"/>
  <c r="W30" i="1"/>
  <c r="V30" i="1"/>
  <c r="BN136" i="1"/>
  <c r="BM137" i="1" s="1"/>
  <c r="BP65" i="1"/>
  <c r="BD58" i="1"/>
  <c r="BP127" i="1"/>
  <c r="BP120" i="1"/>
  <c r="BP112" i="1"/>
  <c r="BP104" i="1"/>
  <c r="BL77" i="1"/>
  <c r="BN59" i="1"/>
  <c r="BD50" i="1"/>
  <c r="BN128" i="1"/>
  <c r="BL102" i="1"/>
  <c r="BL71" i="1"/>
  <c r="BP50" i="1"/>
  <c r="BN51" i="1"/>
  <c r="BL108" i="1"/>
  <c r="BP89" i="1"/>
  <c r="BP81" i="1"/>
  <c r="BP73" i="1"/>
  <c r="BP135" i="1"/>
  <c r="BP96" i="1"/>
  <c r="BP58" i="1"/>
  <c r="BN97" i="1"/>
  <c r="BN98" i="1" s="1"/>
  <c r="BR97" i="1" s="1"/>
  <c r="BN105" i="1"/>
  <c r="BN74" i="1"/>
  <c r="BN66" i="1"/>
  <c r="W26" i="1"/>
  <c r="V26" i="1"/>
  <c r="Q59" i="1"/>
  <c r="AS73" i="1"/>
  <c r="AO75" i="1"/>
  <c r="AS74" i="1" s="1"/>
  <c r="AS136" i="1"/>
  <c r="AS135" i="1"/>
  <c r="BH22" i="1"/>
  <c r="W38" i="1"/>
  <c r="V38" i="1"/>
  <c r="V31" i="1"/>
  <c r="W31" i="1"/>
  <c r="W40" i="1"/>
  <c r="V40" i="1"/>
  <c r="AS104" i="1"/>
  <c r="AO106" i="1"/>
  <c r="AS105" i="1" s="1"/>
  <c r="AG23" i="1"/>
  <c r="AL4" i="1"/>
  <c r="AO23" i="1" s="1"/>
  <c r="W28" i="1"/>
  <c r="V28" i="1"/>
  <c r="AS65" i="1"/>
  <c r="AD26" i="1"/>
  <c r="AJ7" i="1"/>
  <c r="V29" i="1"/>
  <c r="W29" i="1"/>
  <c r="Y58" i="1"/>
  <c r="AS96" i="1"/>
  <c r="AO100" i="1"/>
  <c r="AS98" i="1" s="1"/>
  <c r="V36" i="1"/>
  <c r="W36" i="1"/>
  <c r="U20" i="1"/>
  <c r="AU47" i="1" s="1"/>
  <c r="BM47" i="1" s="1"/>
  <c r="AG29" i="1"/>
  <c r="AL10" i="1"/>
  <c r="M54" i="1"/>
  <c r="M52" i="1"/>
  <c r="T54" i="1"/>
  <c r="T52" i="1"/>
  <c r="AN129" i="1"/>
  <c r="AS129" i="1" s="1"/>
  <c r="AN131" i="1"/>
  <c r="AJ5" i="1"/>
  <c r="AD24" i="1"/>
  <c r="AG25" i="1"/>
  <c r="AL6" i="1"/>
  <c r="S21" i="1"/>
  <c r="V27" i="1"/>
  <c r="W27" i="1"/>
  <c r="U18" i="1"/>
  <c r="AN47" i="1" s="1"/>
  <c r="Y52" i="1" l="1"/>
  <c r="Y59" i="1"/>
  <c r="AO69" i="1"/>
  <c r="AS67" i="1" s="1"/>
  <c r="Y50" i="1"/>
  <c r="BG34" i="1"/>
  <c r="AX35" i="1"/>
  <c r="BG28" i="1"/>
  <c r="AX29" i="1"/>
  <c r="BG33" i="1"/>
  <c r="AX34" i="1"/>
  <c r="BH32" i="1"/>
  <c r="AX33" i="1"/>
  <c r="Y51" i="1"/>
  <c r="BB7" i="1"/>
  <c r="AV26" i="1"/>
  <c r="AX32" i="1"/>
  <c r="BH31" i="1"/>
  <c r="AX27" i="1"/>
  <c r="BG26" i="1"/>
  <c r="BB5" i="1"/>
  <c r="AV24" i="1"/>
  <c r="BH24" i="1"/>
  <c r="AX25" i="1"/>
  <c r="BG27" i="1"/>
  <c r="AX28" i="1"/>
  <c r="AX23" i="1"/>
  <c r="BI22" i="1"/>
  <c r="AL5" i="1"/>
  <c r="AO24" i="1" s="1"/>
  <c r="AO33" i="1" s="1"/>
  <c r="AG24" i="1"/>
  <c r="BR65" i="1"/>
  <c r="AY47" i="1"/>
  <c r="BA47" i="1"/>
  <c r="AS128" i="1"/>
  <c r="AS127" i="1"/>
  <c r="AZ47" i="1"/>
  <c r="BR73" i="1"/>
  <c r="BN75" i="1"/>
  <c r="BR74" i="1" s="1"/>
  <c r="BM131" i="1"/>
  <c r="BM129" i="1"/>
  <c r="BR129" i="1" s="1"/>
  <c r="AI29" i="1"/>
  <c r="AM29" i="1"/>
  <c r="BN67" i="1"/>
  <c r="BR66" i="1" s="1"/>
  <c r="X18" i="1"/>
  <c r="AP47" i="1" s="1"/>
  <c r="X19" i="1"/>
  <c r="X20" i="1"/>
  <c r="AW47" i="1" s="1"/>
  <c r="BO47" i="1" s="1"/>
  <c r="X21" i="1"/>
  <c r="BR104" i="1"/>
  <c r="BN106" i="1"/>
  <c r="BA66" i="1"/>
  <c r="AY66" i="1" s="1"/>
  <c r="BA65" i="1"/>
  <c r="BA64" i="1"/>
  <c r="V18" i="1"/>
  <c r="AO47" i="1" s="1"/>
  <c r="V19" i="1"/>
  <c r="V20" i="1"/>
  <c r="AV47" i="1" s="1"/>
  <c r="V21" i="1"/>
  <c r="BR105" i="1"/>
  <c r="BR136" i="1"/>
  <c r="BR135" i="1"/>
  <c r="AG26" i="1"/>
  <c r="AL7" i="1"/>
  <c r="AI23" i="1"/>
  <c r="AN23" i="1"/>
  <c r="BR96" i="1"/>
  <c r="BN100" i="1"/>
  <c r="BR98" i="1" s="1"/>
  <c r="AI25" i="1"/>
  <c r="AN25" i="1"/>
  <c r="AI28" i="1"/>
  <c r="AM28" i="1"/>
  <c r="AI27" i="1"/>
  <c r="AM27" i="1"/>
  <c r="BN69" i="1" l="1"/>
  <c r="BR67" i="1" s="1"/>
  <c r="BG25" i="1"/>
  <c r="BG35" i="1" s="1"/>
  <c r="AX26" i="1"/>
  <c r="BH23" i="1"/>
  <c r="BH35" i="1" s="1"/>
  <c r="AX24" i="1"/>
  <c r="BI23" i="1"/>
  <c r="BI35" i="1" s="1"/>
  <c r="BC19" i="1"/>
  <c r="AI26" i="1"/>
  <c r="AM26" i="1"/>
  <c r="AM33" i="1" s="1"/>
  <c r="AM118" i="1"/>
  <c r="AM93" i="1"/>
  <c r="AM62" i="1"/>
  <c r="AM56" i="1"/>
  <c r="AM124" i="1"/>
  <c r="AM87" i="1"/>
  <c r="BG47" i="1"/>
  <c r="BF47" i="1"/>
  <c r="BC47" i="1"/>
  <c r="BB47" i="1"/>
  <c r="AV50" i="1"/>
  <c r="BD64" i="1" s="1"/>
  <c r="BM58" i="1"/>
  <c r="BM62" i="1" s="1"/>
  <c r="BM50" i="1"/>
  <c r="BM56" i="1" s="1"/>
  <c r="BN47" i="1"/>
  <c r="BC50" i="1"/>
  <c r="BE64" i="1" s="1"/>
  <c r="AI24" i="1"/>
  <c r="AN24" i="1"/>
  <c r="AN33" i="1" s="1"/>
  <c r="AN50" i="1"/>
  <c r="AN56" i="1" s="1"/>
  <c r="AN58" i="1"/>
  <c r="AN62" i="1" s="1"/>
  <c r="BR127" i="1"/>
  <c r="BR128" i="1"/>
  <c r="AM16" i="1"/>
  <c r="BB17" i="1" l="1"/>
  <c r="AX36" i="1" s="1"/>
  <c r="AY38" i="1"/>
  <c r="AO121" i="1"/>
  <c r="AN54" i="1"/>
  <c r="AN52" i="1"/>
  <c r="AS52" i="1" s="1"/>
  <c r="AN60" i="1"/>
  <c r="AO90" i="1"/>
  <c r="AO113" i="1"/>
  <c r="AO114" i="1" s="1"/>
  <c r="AS113" i="1" s="1"/>
  <c r="AJ34" i="1"/>
  <c r="AL14" i="1"/>
  <c r="AI32" i="1" s="1"/>
  <c r="BL62" i="1"/>
  <c r="BM60" i="1" s="1"/>
  <c r="BL87" i="1"/>
  <c r="BL124" i="1"/>
  <c r="BL93" i="1"/>
  <c r="BL118" i="1"/>
  <c r="BL56" i="1"/>
  <c r="BS50" i="1"/>
  <c r="AO82" i="1"/>
  <c r="AO83" i="1" s="1"/>
  <c r="AS82" i="1" s="1"/>
  <c r="AS120" i="1" l="1"/>
  <c r="AO122" i="1"/>
  <c r="AS121" i="1" s="1"/>
  <c r="BN90" i="1"/>
  <c r="BN113" i="1"/>
  <c r="BN114" i="1" s="1"/>
  <c r="BR113" i="1" s="1"/>
  <c r="AS112" i="1"/>
  <c r="AO116" i="1"/>
  <c r="AS114" i="1" s="1"/>
  <c r="BN121" i="1"/>
  <c r="BM52" i="1"/>
  <c r="BR52" i="1" s="1"/>
  <c r="BM54" i="1"/>
  <c r="BN82" i="1"/>
  <c r="BN83" i="1" s="1"/>
  <c r="BR82" i="1" s="1"/>
  <c r="AO91" i="1"/>
  <c r="AS90" i="1" s="1"/>
  <c r="AS89" i="1"/>
  <c r="BR59" i="1"/>
  <c r="BR58" i="1"/>
  <c r="AS58" i="1"/>
  <c r="AS59" i="1"/>
  <c r="AO85" i="1"/>
  <c r="AS83" i="1" s="1"/>
  <c r="AS81" i="1"/>
  <c r="AS51" i="1"/>
  <c r="AY51" i="1" s="1"/>
  <c r="AS50" i="1"/>
  <c r="AY52" i="1" l="1"/>
  <c r="BR81" i="1"/>
  <c r="BN85" i="1"/>
  <c r="BR83" i="1" s="1"/>
  <c r="AY59" i="1"/>
  <c r="BB65" i="1" s="1"/>
  <c r="BN116" i="1"/>
  <c r="BR114" i="1" s="1"/>
  <c r="BR112" i="1"/>
  <c r="AY58" i="1"/>
  <c r="BB64" i="1" s="1"/>
  <c r="BR50" i="1"/>
  <c r="BR51" i="1"/>
  <c r="BF51" i="1" s="1"/>
  <c r="BR89" i="1"/>
  <c r="BN91" i="1"/>
  <c r="BR90" i="1" s="1"/>
  <c r="AY50" i="1"/>
  <c r="BN122" i="1"/>
  <c r="BR121" i="1" s="1"/>
  <c r="BR120" i="1"/>
  <c r="BF58" i="1" l="1"/>
  <c r="BC64" i="1" s="1"/>
  <c r="AY64" i="1" s="1"/>
  <c r="BF50" i="1"/>
  <c r="BF59" i="1"/>
  <c r="BC65" i="1" s="1"/>
  <c r="AY65" i="1" s="1"/>
  <c r="BF52" i="1"/>
</calcChain>
</file>

<file path=xl/sharedStrings.xml><?xml version="1.0" encoding="utf-8"?>
<sst xmlns="http://schemas.openxmlformats.org/spreadsheetml/2006/main" count="463" uniqueCount="146">
  <si>
    <t>Up</t>
  </si>
  <si>
    <t>Down</t>
  </si>
  <si>
    <t>km</t>
  </si>
  <si>
    <t>تعداد دهانه</t>
  </si>
  <si>
    <t>عرض دهانه</t>
  </si>
  <si>
    <t>آلفا</t>
  </si>
  <si>
    <t>عرض نصف جاده (با حساب قرنیز )   چپ</t>
  </si>
  <si>
    <t>عرض نصف جاده (با حساب قرنیز ) راست</t>
  </si>
  <si>
    <t>درصد شیب طولی پروژه</t>
  </si>
  <si>
    <t>درصد شیب زمین</t>
  </si>
  <si>
    <t>Ax zamin</t>
  </si>
  <si>
    <t>رت</t>
  </si>
  <si>
    <t>Ax proje</t>
  </si>
  <si>
    <t>L</t>
  </si>
  <si>
    <t>R</t>
  </si>
  <si>
    <t>m</t>
  </si>
  <si>
    <t>Hs</t>
  </si>
  <si>
    <t>t</t>
  </si>
  <si>
    <t>ارتفاع شناژ</t>
  </si>
  <si>
    <t>Number</t>
  </si>
  <si>
    <t>D</t>
  </si>
  <si>
    <t>n</t>
  </si>
  <si>
    <t>shape</t>
  </si>
  <si>
    <t>totatl L</t>
  </si>
  <si>
    <t>Kg/m</t>
  </si>
  <si>
    <t>Kg</t>
  </si>
  <si>
    <t>right km</t>
  </si>
  <si>
    <t>more</t>
  </si>
  <si>
    <t>right situation</t>
  </si>
  <si>
    <t>shib shirvani</t>
  </si>
  <si>
    <t>آکس پروژه</t>
  </si>
  <si>
    <t>دور</t>
  </si>
  <si>
    <t>H</t>
  </si>
  <si>
    <t>Hstandard</t>
  </si>
  <si>
    <t>ارتفاع قرنیز</t>
  </si>
  <si>
    <t>C1</t>
  </si>
  <si>
    <t>کد زیر شناژ</t>
  </si>
  <si>
    <t>ستاره</t>
  </si>
  <si>
    <t>setare</t>
  </si>
  <si>
    <t>p2</t>
  </si>
  <si>
    <t>اگر تک دهانه ی 5 متر ویا بیشتر باشد</t>
  </si>
  <si>
    <t>عرض دهانه اصلاح شده</t>
  </si>
  <si>
    <t>کد روی پی</t>
  </si>
  <si>
    <t>وزن آرماتور برای یک متر طول آبرو</t>
  </si>
  <si>
    <t>وزن آرماتور برای ابتدا و انتهای آبرو</t>
  </si>
  <si>
    <t>کد زیر پی</t>
  </si>
  <si>
    <t>دیوار</t>
  </si>
  <si>
    <t>مقطع 3-3</t>
  </si>
  <si>
    <t>وزن کل آرماتور مورد نیاز</t>
  </si>
  <si>
    <t>طول دیوار
W</t>
  </si>
  <si>
    <t>ارتفاع
h(max)</t>
  </si>
  <si>
    <t>ارتفاع
h(min)</t>
  </si>
  <si>
    <t>کد زیر پی
 در ابتدای دیوار</t>
  </si>
  <si>
    <t>کد زیر پی
 در انتهای دیوار</t>
  </si>
  <si>
    <t>ارتفاع پی
m(min)</t>
  </si>
  <si>
    <t>ارتفاع پی
m(max)</t>
  </si>
  <si>
    <t>عرض پی
f(min)</t>
  </si>
  <si>
    <t>عرض پی
f(max)</t>
  </si>
  <si>
    <t>s1
(max)</t>
  </si>
  <si>
    <t>s1
(min)</t>
  </si>
  <si>
    <t>s2
(max)</t>
  </si>
  <si>
    <t>s2
(min)</t>
  </si>
  <si>
    <t>W1</t>
  </si>
  <si>
    <t>-</t>
  </si>
  <si>
    <t>اگر چند دهانه داشته باشیم</t>
  </si>
  <si>
    <t>W2</t>
  </si>
  <si>
    <t>W3</t>
  </si>
  <si>
    <t>W4</t>
  </si>
  <si>
    <t>وزن میلگرد ها به تفکیک</t>
  </si>
  <si>
    <t>&lt;10</t>
  </si>
  <si>
    <t>12&lt;&lt;18</t>
  </si>
  <si>
    <t>20&lt;</t>
  </si>
  <si>
    <r>
      <t>Rbeta</t>
    </r>
    <r>
      <rPr>
        <sz val="11"/>
        <color theme="1"/>
        <rFont val="Calibri"/>
        <family val="2"/>
      </rPr>
      <t>≠</t>
    </r>
    <r>
      <rPr>
        <sz val="11"/>
        <color theme="1"/>
        <rFont val="Arial"/>
        <family val="2"/>
      </rPr>
      <t>0</t>
    </r>
  </si>
  <si>
    <t>شماره</t>
  </si>
  <si>
    <t>قطر 
mm</t>
  </si>
  <si>
    <t>تعداد</t>
  </si>
  <si>
    <t>شکل آرماتور</t>
  </si>
  <si>
    <t>طول
m</t>
  </si>
  <si>
    <t>طول کل
m</t>
  </si>
  <si>
    <t>وزن یکمتر
Kg/m</t>
  </si>
  <si>
    <t>وزن کل
Kg</t>
  </si>
  <si>
    <t>Rbeta=0</t>
  </si>
  <si>
    <t>Lbeta≠0</t>
  </si>
  <si>
    <t>Lbeta=0</t>
  </si>
  <si>
    <t>h</t>
  </si>
  <si>
    <t>x</t>
  </si>
  <si>
    <t>b</t>
  </si>
  <si>
    <t>f</t>
  </si>
  <si>
    <t>range</t>
  </si>
  <si>
    <t>s1</t>
  </si>
  <si>
    <t>s2</t>
  </si>
  <si>
    <t>1--2</t>
  </si>
  <si>
    <t>2--3</t>
  </si>
  <si>
    <t>3--4</t>
  </si>
  <si>
    <t>4--5</t>
  </si>
  <si>
    <t>5--6</t>
  </si>
  <si>
    <t>6--7</t>
  </si>
  <si>
    <t>sum</t>
  </si>
  <si>
    <t>ns</t>
  </si>
  <si>
    <t>span</t>
  </si>
  <si>
    <t>dever</t>
  </si>
  <si>
    <t>Tdeck</t>
  </si>
  <si>
    <t>l</t>
  </si>
  <si>
    <t>h-30</t>
  </si>
  <si>
    <t>b1</t>
  </si>
  <si>
    <t>b2</t>
  </si>
  <si>
    <t>c1</t>
  </si>
  <si>
    <t>c2</t>
  </si>
  <si>
    <t>p1</t>
  </si>
  <si>
    <t>k</t>
  </si>
  <si>
    <t>j</t>
  </si>
  <si>
    <t>بتن پی</t>
  </si>
  <si>
    <t>پلاستیک</t>
  </si>
  <si>
    <t>پی کنی</t>
  </si>
  <si>
    <t>قالب دیوار</t>
  </si>
  <si>
    <t>بتن دیوار</t>
  </si>
  <si>
    <t>قالب شناژ</t>
  </si>
  <si>
    <t>بتن شناژ</t>
  </si>
  <si>
    <t>قالب دال</t>
  </si>
  <si>
    <t>بتن دال</t>
  </si>
  <si>
    <t>قالب قرنیز</t>
  </si>
  <si>
    <t>بتن قرنیز</t>
  </si>
  <si>
    <t>پرایمرکوله</t>
  </si>
  <si>
    <t>عایق دال</t>
  </si>
  <si>
    <t xml:space="preserve">  (dm3) درز انبساط</t>
  </si>
  <si>
    <t>درناژ</t>
  </si>
  <si>
    <t>RW</t>
  </si>
  <si>
    <t>عایق</t>
  </si>
  <si>
    <t>r</t>
  </si>
  <si>
    <t>hr</t>
  </si>
  <si>
    <t>L1</t>
  </si>
  <si>
    <t>L2</t>
  </si>
  <si>
    <t>hl</t>
  </si>
  <si>
    <t>طول مایل</t>
  </si>
  <si>
    <t>طول عمود</t>
  </si>
  <si>
    <t>x&lt;=2</t>
  </si>
  <si>
    <t>وجه جلو</t>
  </si>
  <si>
    <t>2&lt;x&lt;=3</t>
  </si>
  <si>
    <t>3&lt;x&lt;=5</t>
  </si>
  <si>
    <t>Final</t>
  </si>
  <si>
    <t>وجه راست (L1)</t>
  </si>
  <si>
    <t>وجه چپ (L1)</t>
  </si>
  <si>
    <t>وجه راست (L2)</t>
  </si>
  <si>
    <t>وجه چپ (L2)</t>
  </si>
  <si>
    <t>وجه عقب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</si>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</sst>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  <charset val="178"/>
      <scheme val="minor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 diagonalUp="1">
      <left/>
      <right/>
      <top/>
      <bottom/>
      <diagonal style="thin">
        <color auto="1"/>
      </diagonal>
    </border>
    <border diagonalDown="1">
      <left/>
      <right/>
      <top/>
      <bottom/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auto="1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7" fillId="0" borderId="0"/>
    <xf numFmtId="0" fontId="1" fillId="0" borderId="0"/>
  </cellStyleXfs>
  <cellXfs count="2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2" fontId="0" fillId="3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2" fontId="0" fillId="4" borderId="9" xfId="0" applyNumberFormat="1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164" fontId="0" fillId="4" borderId="9" xfId="0" applyNumberFormat="1" applyFill="1" applyBorder="1" applyAlignment="1">
      <alignment horizontal="center"/>
    </xf>
    <xf numFmtId="2" fontId="0" fillId="4" borderId="12" xfId="0" applyNumberFormat="1" applyFill="1" applyBorder="1" applyAlignment="1">
      <alignment horizontal="center"/>
    </xf>
    <xf numFmtId="0" fontId="0" fillId="0" borderId="9" xfId="0" applyBorder="1"/>
    <xf numFmtId="164" fontId="0" fillId="0" borderId="12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3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5" borderId="9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164" fontId="0" fillId="5" borderId="9" xfId="0" applyNumberFormat="1" applyFill="1" applyBorder="1" applyAlignment="1">
      <alignment horizontal="center"/>
    </xf>
    <xf numFmtId="0" fontId="8" fillId="8" borderId="9" xfId="1" applyFont="1" applyFill="1" applyBorder="1" applyAlignment="1">
      <alignment horizontal="center" vertical="center"/>
    </xf>
    <xf numFmtId="0" fontId="8" fillId="9" borderId="9" xfId="1" applyFont="1" applyFill="1" applyBorder="1" applyAlignment="1">
      <alignment horizontal="center" vertical="center"/>
    </xf>
    <xf numFmtId="0" fontId="8" fillId="9" borderId="11" xfId="2" applyFont="1" applyFill="1" applyBorder="1" applyAlignment="1">
      <alignment horizontal="center" vertical="center"/>
    </xf>
    <xf numFmtId="0" fontId="8" fillId="9" borderId="9" xfId="2" applyFont="1" applyFill="1" applyBorder="1" applyAlignment="1">
      <alignment horizontal="center" vertical="center"/>
    </xf>
    <xf numFmtId="0" fontId="8" fillId="9" borderId="12" xfId="2" applyFont="1" applyFill="1" applyBorder="1" applyAlignment="1">
      <alignment horizontal="center" vertical="center"/>
    </xf>
    <xf numFmtId="0" fontId="7" fillId="0" borderId="8" xfId="1" applyBorder="1" applyAlignment="1">
      <alignment horizontal="center" vertical="center"/>
    </xf>
    <xf numFmtId="0" fontId="7" fillId="0" borderId="6" xfId="1" applyBorder="1" applyAlignment="1">
      <alignment horizontal="center" vertical="center"/>
    </xf>
    <xf numFmtId="2" fontId="7" fillId="6" borderId="6" xfId="1" applyNumberFormat="1" applyFill="1" applyBorder="1" applyAlignment="1">
      <alignment horizontal="center" vertical="center"/>
    </xf>
    <xf numFmtId="2" fontId="7" fillId="2" borderId="6" xfId="1" applyNumberFormat="1" applyFill="1" applyBorder="1" applyAlignment="1">
      <alignment horizontal="center" vertical="center"/>
    </xf>
    <xf numFmtId="2" fontId="7" fillId="7" borderId="6" xfId="1" applyNumberFormat="1" applyFill="1" applyBorder="1" applyAlignment="1">
      <alignment horizontal="center" vertical="center"/>
    </xf>
    <xf numFmtId="2" fontId="7" fillId="8" borderId="6" xfId="1" applyNumberFormat="1" applyFill="1" applyBorder="1" applyAlignment="1">
      <alignment horizontal="center" vertical="center"/>
    </xf>
    <xf numFmtId="2" fontId="7" fillId="9" borderId="6" xfId="1" applyNumberFormat="1" applyFill="1" applyBorder="1" applyAlignment="1">
      <alignment horizontal="center" vertical="center"/>
    </xf>
    <xf numFmtId="2" fontId="10" fillId="0" borderId="6" xfId="1" applyNumberFormat="1" applyFont="1" applyBorder="1" applyAlignment="1">
      <alignment horizontal="center" vertical="center"/>
    </xf>
    <xf numFmtId="2" fontId="7" fillId="0" borderId="6" xfId="1" applyNumberFormat="1" applyBorder="1" applyAlignment="1">
      <alignment horizontal="center" vertical="center"/>
    </xf>
    <xf numFmtId="2" fontId="7" fillId="0" borderId="7" xfId="1" applyNumberFormat="1" applyBorder="1" applyAlignment="1">
      <alignment horizontal="center" vertical="center"/>
    </xf>
    <xf numFmtId="2" fontId="7" fillId="8" borderId="8" xfId="2" applyNumberFormat="1" applyFill="1" applyBorder="1" applyAlignment="1">
      <alignment horizontal="center" vertical="center"/>
    </xf>
    <xf numFmtId="2" fontId="7" fillId="8" borderId="6" xfId="2" applyNumberFormat="1" applyFill="1" applyBorder="1" applyAlignment="1">
      <alignment horizontal="center" vertical="center"/>
    </xf>
    <xf numFmtId="2" fontId="7" fillId="8" borderId="7" xfId="2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0" borderId="0" xfId="3" applyAlignment="1">
      <alignment horizontal="center"/>
    </xf>
    <xf numFmtId="0" fontId="1" fillId="0" borderId="0" xfId="3"/>
    <xf numFmtId="2" fontId="1" fillId="0" borderId="0" xfId="3" applyNumberFormat="1" applyAlignment="1">
      <alignment horizontal="center"/>
    </xf>
    <xf numFmtId="0" fontId="0" fillId="0" borderId="26" xfId="0" applyBorder="1" applyAlignment="1">
      <alignment horizontal="center" vertical="center"/>
    </xf>
    <xf numFmtId="2" fontId="0" fillId="0" borderId="18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26" xfId="3" applyBorder="1" applyAlignment="1">
      <alignment horizontal="center" vertical="center"/>
    </xf>
    <xf numFmtId="2" fontId="1" fillId="0" borderId="18" xfId="3" applyNumberFormat="1" applyBorder="1" applyAlignment="1">
      <alignment horizontal="center"/>
    </xf>
    <xf numFmtId="0" fontId="1" fillId="0" borderId="27" xfId="3" applyBorder="1" applyAlignment="1">
      <alignment horizontal="center"/>
    </xf>
    <xf numFmtId="0" fontId="1" fillId="0" borderId="9" xfId="3" applyBorder="1" applyAlignment="1">
      <alignment horizontal="center"/>
    </xf>
    <xf numFmtId="2" fontId="1" fillId="0" borderId="9" xfId="3" applyNumberFormat="1" applyBorder="1" applyAlignment="1">
      <alignment horizontal="center"/>
    </xf>
    <xf numFmtId="2" fontId="1" fillId="4" borderId="0" xfId="3" applyNumberFormat="1" applyFill="1" applyAlignment="1">
      <alignment horizontal="center"/>
    </xf>
    <xf numFmtId="0" fontId="0" fillId="0" borderId="15" xfId="0" applyBorder="1" applyAlignment="1">
      <alignment horizontal="center"/>
    </xf>
    <xf numFmtId="2" fontId="0" fillId="0" borderId="14" xfId="0" applyNumberFormat="1" applyBorder="1" applyAlignment="1">
      <alignment horizontal="center" vertical="center"/>
    </xf>
    <xf numFmtId="0" fontId="1" fillId="0" borderId="13" xfId="3" applyBorder="1" applyAlignment="1">
      <alignment horizontal="center"/>
    </xf>
    <xf numFmtId="2" fontId="1" fillId="0" borderId="14" xfId="3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/>
    </xf>
    <xf numFmtId="2" fontId="1" fillId="0" borderId="33" xfId="3" applyNumberFormat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1" fillId="0" borderId="36" xfId="3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2" fontId="0" fillId="0" borderId="40" xfId="0" applyNumberFormat="1" applyBorder="1" applyAlignment="1">
      <alignment horizontal="center"/>
    </xf>
    <xf numFmtId="0" fontId="0" fillId="0" borderId="41" xfId="0" applyBorder="1" applyAlignment="1">
      <alignment horizontal="center"/>
    </xf>
    <xf numFmtId="2" fontId="0" fillId="0" borderId="40" xfId="0" applyNumberFormat="1" applyBorder="1" applyAlignment="1">
      <alignment horizontal="center" vertical="center"/>
    </xf>
    <xf numFmtId="0" fontId="1" fillId="0" borderId="40" xfId="3" applyBorder="1" applyAlignment="1">
      <alignment horizontal="center" vertical="center"/>
    </xf>
    <xf numFmtId="2" fontId="1" fillId="0" borderId="40" xfId="3" applyNumberFormat="1" applyBorder="1" applyAlignment="1">
      <alignment horizontal="center" vertical="center"/>
    </xf>
    <xf numFmtId="2" fontId="1" fillId="0" borderId="40" xfId="3" applyNumberFormat="1" applyBorder="1" applyAlignment="1">
      <alignment horizontal="center"/>
    </xf>
    <xf numFmtId="0" fontId="1" fillId="0" borderId="41" xfId="3" applyBorder="1" applyAlignment="1">
      <alignment horizontal="center"/>
    </xf>
    <xf numFmtId="0" fontId="1" fillId="0" borderId="0" xfId="3" applyAlignment="1">
      <alignment horizontal="center" vertical="center"/>
    </xf>
    <xf numFmtId="0" fontId="1" fillId="0" borderId="43" xfId="3" applyBorder="1" applyAlignment="1">
      <alignment horizontal="center"/>
    </xf>
    <xf numFmtId="0" fontId="1" fillId="0" borderId="43" xfId="3" applyBorder="1"/>
    <xf numFmtId="0" fontId="0" fillId="0" borderId="43" xfId="0" applyBorder="1"/>
    <xf numFmtId="1" fontId="1" fillId="0" borderId="47" xfId="3" applyNumberFormat="1" applyBorder="1" applyAlignment="1">
      <alignment horizontal="center"/>
    </xf>
    <xf numFmtId="1" fontId="1" fillId="0" borderId="33" xfId="3" applyNumberFormat="1" applyBorder="1" applyAlignment="1">
      <alignment horizontal="center"/>
    </xf>
    <xf numFmtId="2" fontId="1" fillId="0" borderId="47" xfId="3" applyNumberFormat="1" applyBorder="1" applyAlignment="1">
      <alignment horizontal="center"/>
    </xf>
    <xf numFmtId="2" fontId="1" fillId="0" borderId="36" xfId="3" applyNumberFormat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2" fontId="12" fillId="0" borderId="9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4" fontId="12" fillId="0" borderId="9" xfId="0" applyNumberFormat="1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wrapText="1"/>
    </xf>
    <xf numFmtId="0" fontId="14" fillId="0" borderId="22" xfId="0" applyFont="1" applyBorder="1" applyAlignment="1">
      <alignment horizontal="center" wrapText="1"/>
    </xf>
    <xf numFmtId="164" fontId="14" fillId="0" borderId="9" xfId="0" applyNumberFormat="1" applyFont="1" applyBorder="1" applyAlignment="1">
      <alignment horizontal="center" vertical="center"/>
    </xf>
    <xf numFmtId="2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2" fontId="14" fillId="0" borderId="9" xfId="0" applyNumberFormat="1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164" fontId="14" fillId="0" borderId="6" xfId="0" applyNumberFormat="1" applyFont="1" applyBorder="1" applyAlignment="1">
      <alignment horizontal="center" vertical="center"/>
    </xf>
    <xf numFmtId="2" fontId="1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2" fontId="14" fillId="0" borderId="6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" fillId="0" borderId="30" xfId="3" applyBorder="1" applyAlignment="1">
      <alignment horizontal="center" vertical="center"/>
    </xf>
    <xf numFmtId="0" fontId="1" fillId="0" borderId="37" xfId="3" applyBorder="1" applyAlignment="1">
      <alignment horizontal="center" vertical="center"/>
    </xf>
    <xf numFmtId="2" fontId="1" fillId="0" borderId="29" xfId="3" applyNumberFormat="1" applyBorder="1" applyAlignment="1">
      <alignment horizontal="center" vertical="center"/>
    </xf>
    <xf numFmtId="2" fontId="1" fillId="0" borderId="0" xfId="3" applyNumberFormat="1" applyAlignment="1">
      <alignment horizontal="center" vertical="center"/>
    </xf>
    <xf numFmtId="0" fontId="1" fillId="0" borderId="34" xfId="3" applyBorder="1" applyAlignment="1">
      <alignment horizontal="center" vertical="center"/>
    </xf>
    <xf numFmtId="2" fontId="3" fillId="0" borderId="10" xfId="3" applyNumberFormat="1" applyFont="1" applyBorder="1" applyAlignment="1">
      <alignment horizontal="center"/>
    </xf>
    <xf numFmtId="2" fontId="3" fillId="0" borderId="13" xfId="3" applyNumberFormat="1" applyFont="1" applyBorder="1" applyAlignment="1">
      <alignment horizontal="center"/>
    </xf>
    <xf numFmtId="2" fontId="3" fillId="0" borderId="44" xfId="3" applyNumberFormat="1" applyFont="1" applyBorder="1" applyAlignment="1">
      <alignment horizontal="center"/>
    </xf>
    <xf numFmtId="2" fontId="3" fillId="0" borderId="36" xfId="3" applyNumberFormat="1" applyFont="1" applyBorder="1" applyAlignment="1">
      <alignment horizontal="center"/>
    </xf>
    <xf numFmtId="0" fontId="9" fillId="0" borderId="28" xfId="3" applyFont="1" applyBorder="1" applyAlignment="1">
      <alignment horizontal="center" vertical="center" textRotation="90"/>
    </xf>
    <xf numFmtId="0" fontId="9" fillId="0" borderId="32" xfId="3" applyFont="1" applyBorder="1" applyAlignment="1">
      <alignment horizontal="center" vertical="center" textRotation="90"/>
    </xf>
    <xf numFmtId="0" fontId="9" fillId="0" borderId="42" xfId="3" applyFont="1" applyBorder="1" applyAlignment="1">
      <alignment horizontal="center" vertical="center" textRotation="90"/>
    </xf>
    <xf numFmtId="0" fontId="1" fillId="0" borderId="25" xfId="3" applyBorder="1" applyAlignment="1">
      <alignment horizontal="center" vertical="center"/>
    </xf>
    <xf numFmtId="0" fontId="1" fillId="0" borderId="26" xfId="3" applyBorder="1" applyAlignment="1">
      <alignment horizontal="center" vertical="center"/>
    </xf>
    <xf numFmtId="0" fontId="1" fillId="0" borderId="5" xfId="3" applyBorder="1" applyAlignment="1">
      <alignment horizontal="center" vertical="center"/>
    </xf>
    <xf numFmtId="0" fontId="1" fillId="0" borderId="23" xfId="3" applyBorder="1" applyAlignment="1">
      <alignment horizontal="center" vertical="center"/>
    </xf>
    <xf numFmtId="0" fontId="1" fillId="0" borderId="21" xfId="3" applyBorder="1" applyAlignment="1">
      <alignment horizontal="center" vertical="center"/>
    </xf>
    <xf numFmtId="2" fontId="1" fillId="0" borderId="34" xfId="3" applyNumberFormat="1" applyBorder="1" applyAlignment="1">
      <alignment horizontal="center" vertical="center"/>
    </xf>
    <xf numFmtId="0" fontId="9" fillId="0" borderId="45" xfId="3" applyFont="1" applyBorder="1" applyAlignment="1">
      <alignment horizontal="center" vertical="center" textRotation="90"/>
    </xf>
    <xf numFmtId="0" fontId="9" fillId="0" borderId="46" xfId="3" applyFont="1" applyBorder="1" applyAlignment="1">
      <alignment horizontal="center" vertical="center" textRotation="90"/>
    </xf>
    <xf numFmtId="0" fontId="9" fillId="0" borderId="48" xfId="3" applyFont="1" applyBorder="1" applyAlignment="1">
      <alignment horizontal="center" vertical="center" textRotation="90"/>
    </xf>
    <xf numFmtId="0" fontId="1" fillId="3" borderId="5" xfId="3" applyFill="1" applyBorder="1" applyAlignment="1">
      <alignment horizontal="center" vertical="center"/>
    </xf>
    <xf numFmtId="0" fontId="1" fillId="3" borderId="23" xfId="3" applyFill="1" applyBorder="1" applyAlignment="1">
      <alignment horizontal="center" vertical="center"/>
    </xf>
    <xf numFmtId="0" fontId="1" fillId="3" borderId="21" xfId="3" applyFill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3" fillId="0" borderId="9" xfId="0" applyNumberFormat="1" applyFon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8" fillId="9" borderId="1" xfId="2" applyFont="1" applyFill="1" applyBorder="1" applyAlignment="1">
      <alignment horizontal="center" vertical="center"/>
    </xf>
    <xf numFmtId="0" fontId="8" fillId="9" borderId="2" xfId="2" applyFont="1" applyFill="1" applyBorder="1" applyAlignment="1">
      <alignment horizontal="center" vertical="center"/>
    </xf>
    <xf numFmtId="0" fontId="8" fillId="9" borderId="3" xfId="2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9" fillId="7" borderId="2" xfId="1" applyFont="1" applyFill="1" applyBorder="1" applyAlignment="1">
      <alignment horizontal="center" vertical="center" wrapText="1"/>
    </xf>
    <xf numFmtId="0" fontId="9" fillId="7" borderId="9" xfId="1" applyFont="1" applyFill="1" applyBorder="1" applyAlignment="1">
      <alignment horizontal="center" vertical="center" wrapText="1"/>
    </xf>
    <xf numFmtId="0" fontId="9" fillId="7" borderId="2" xfId="1" applyFont="1" applyFill="1" applyBorder="1" applyAlignment="1">
      <alignment horizontal="center" vertical="center"/>
    </xf>
    <xf numFmtId="0" fontId="9" fillId="7" borderId="9" xfId="1" applyFont="1" applyFill="1" applyBorder="1" applyAlignment="1">
      <alignment horizontal="center" vertical="center"/>
    </xf>
    <xf numFmtId="0" fontId="8" fillId="8" borderId="17" xfId="1" applyFont="1" applyFill="1" applyBorder="1" applyAlignment="1">
      <alignment horizontal="center" vertical="center"/>
    </xf>
    <xf numFmtId="0" fontId="8" fillId="8" borderId="18" xfId="1" applyFont="1" applyFill="1" applyBorder="1" applyAlignment="1">
      <alignment horizontal="center" vertical="center"/>
    </xf>
    <xf numFmtId="0" fontId="8" fillId="8" borderId="24" xfId="1" applyFont="1" applyFill="1" applyBorder="1" applyAlignment="1">
      <alignment horizontal="center" vertical="center"/>
    </xf>
    <xf numFmtId="0" fontId="8" fillId="8" borderId="10" xfId="1" applyFont="1" applyFill="1" applyBorder="1" applyAlignment="1">
      <alignment horizontal="center" vertical="center"/>
    </xf>
    <xf numFmtId="0" fontId="8" fillId="8" borderId="15" xfId="1" applyFont="1" applyFill="1" applyBorder="1" applyAlignment="1">
      <alignment horizontal="center" vertical="center"/>
    </xf>
    <xf numFmtId="0" fontId="8" fillId="8" borderId="13" xfId="1" applyFont="1" applyFill="1" applyBorder="1" applyAlignment="1">
      <alignment horizontal="center" vertical="center"/>
    </xf>
    <xf numFmtId="0" fontId="8" fillId="9" borderId="9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8" fillId="6" borderId="9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0" fontId="0" fillId="0" borderId="21" xfId="0" applyBorder="1" applyAlignment="1">
      <alignment horizontal="center" vertical="center" textRotation="90"/>
    </xf>
    <xf numFmtId="0" fontId="14" fillId="0" borderId="16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2" xfId="0" applyBorder="1" applyAlignment="1">
      <alignment horizontal="center"/>
    </xf>
  </cellXfs>
  <cellStyles count="4">
    <cellStyle name="Normal" xfId="0" builtinId="0"/>
    <cellStyle name="Normal 2" xfId="1" xr:uid="{B6DF3E70-E647-4DFB-ADDF-26E25E16DC9E}"/>
    <cellStyle name="Normal 2 2" xfId="2" xr:uid="{DF8A0323-5E9F-4705-AC47-BCCB80CBC15D}"/>
    <cellStyle name="Normal 3" xfId="3" xr:uid="{78747EE8-7A51-47F8-A3FA-CE545CB6A132}"/>
  </cellStyles>
  <dxfs count="6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592182</xdr:colOff>
      <xdr:row>22</xdr:row>
      <xdr:rowOff>30480</xdr:rowOff>
    </xdr:from>
    <xdr:to>
      <xdr:col>31</xdr:col>
      <xdr:colOff>169817</xdr:colOff>
      <xdr:row>23</xdr:row>
      <xdr:rowOff>108857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F7178E32-DFED-4F8C-BC49-25ED824766B6}"/>
            </a:ext>
          </a:extLst>
        </xdr:cNvPr>
        <xdr:cNvGrpSpPr/>
      </xdr:nvGrpSpPr>
      <xdr:grpSpPr>
        <a:xfrm>
          <a:off x="22018311" y="5856093"/>
          <a:ext cx="1961958" cy="553603"/>
          <a:chOff x="19858750" y="6086375"/>
          <a:chExt cx="1719256" cy="551619"/>
        </a:xfrm>
      </xdr:grpSpPr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A885BE9E-1393-47DF-9C99-19F49B10D0A7}"/>
              </a:ext>
            </a:extLst>
          </xdr:cNvPr>
          <xdr:cNvGrpSpPr/>
        </xdr:nvGrpSpPr>
        <xdr:grpSpPr>
          <a:xfrm>
            <a:off x="20118571" y="6312460"/>
            <a:ext cx="1079432" cy="113314"/>
            <a:chOff x="19986404" y="6331783"/>
            <a:chExt cx="1147011" cy="113314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6AEA06C-4338-4D9E-BE15-1AE5DA4458FE}"/>
                </a:ext>
              </a:extLst>
            </xdr:cNvPr>
            <xdr:cNvCxnSpPr/>
          </xdr:nvCxnSpPr>
          <xdr:spPr>
            <a:xfrm>
              <a:off x="21128182" y="6355773"/>
              <a:ext cx="4692" cy="8647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A1B7F938-6948-4D16-A789-CE6814D01B1B}"/>
                </a:ext>
              </a:extLst>
            </xdr:cNvPr>
            <xdr:cNvCxnSpPr/>
          </xdr:nvCxnSpPr>
          <xdr:spPr>
            <a:xfrm flipH="1">
              <a:off x="20379671" y="6442268"/>
              <a:ext cx="753744" cy="282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Straight Connector 11">
              <a:extLst>
                <a:ext uri="{FF2B5EF4-FFF2-40B4-BE49-F238E27FC236}">
                  <a16:creationId xmlns:a16="http://schemas.microsoft.com/office/drawing/2014/main" id="{712322C7-9B07-4268-8FD1-CE55471CB452}"/>
                </a:ext>
              </a:extLst>
            </xdr:cNvPr>
            <xdr:cNvCxnSpPr/>
          </xdr:nvCxnSpPr>
          <xdr:spPr>
            <a:xfrm>
              <a:off x="20208641" y="6339013"/>
              <a:ext cx="174662" cy="10472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Straight Connector 19">
              <a:extLst>
                <a:ext uri="{FF2B5EF4-FFF2-40B4-BE49-F238E27FC236}">
                  <a16:creationId xmlns:a16="http://schemas.microsoft.com/office/drawing/2014/main" id="{5ED2458C-7410-4C63-85BA-97EFAD5CDFCF}"/>
                </a:ext>
              </a:extLst>
            </xdr:cNvPr>
            <xdr:cNvCxnSpPr/>
          </xdr:nvCxnSpPr>
          <xdr:spPr>
            <a:xfrm>
              <a:off x="19989874" y="6334097"/>
              <a:ext cx="218767" cy="491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13BB1F30-058D-4886-ACE5-0EF1C99E650B}"/>
                </a:ext>
              </a:extLst>
            </xdr:cNvPr>
            <xdr:cNvCxnSpPr/>
          </xdr:nvCxnSpPr>
          <xdr:spPr>
            <a:xfrm>
              <a:off x="19986404" y="6331783"/>
              <a:ext cx="1012" cy="7605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4A024958-5D24-4867-88D2-431308AC67F6}"/>
              </a:ext>
            </a:extLst>
          </xdr:cNvPr>
          <xdr:cNvSpPr/>
        </xdr:nvSpPr>
        <xdr:spPr>
          <a:xfrm>
            <a:off x="21146245" y="6238774"/>
            <a:ext cx="431761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22     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67678174-5C27-4FA3-B980-C3384A4DDCAC}"/>
              </a:ext>
            </a:extLst>
          </xdr:cNvPr>
          <xdr:cNvSpPr/>
        </xdr:nvSpPr>
        <xdr:spPr>
          <a:xfrm>
            <a:off x="19858750" y="6199586"/>
            <a:ext cx="429700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22</a:t>
            </a: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87A256BD-7927-471B-9E0E-74B5B230F7E1}"/>
              </a:ext>
            </a:extLst>
          </xdr:cNvPr>
          <xdr:cNvSpPr/>
        </xdr:nvSpPr>
        <xdr:spPr>
          <a:xfrm>
            <a:off x="20053320" y="6086375"/>
            <a:ext cx="431074" cy="40059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29</a:t>
            </a: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7A5414C3-EA13-4421-A6EF-1E11098FB980}"/>
              </a:ext>
            </a:extLst>
          </xdr:cNvPr>
          <xdr:cNvSpPr/>
        </xdr:nvSpPr>
        <xdr:spPr>
          <a:xfrm>
            <a:off x="20301514" y="6160398"/>
            <a:ext cx="431074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20</a:t>
            </a: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E75D0225-1B29-4044-B8E1-7EEB9595C8D8}"/>
              </a:ext>
            </a:extLst>
          </xdr:cNvPr>
          <xdr:cNvSpPr/>
        </xdr:nvSpPr>
        <xdr:spPr>
          <a:xfrm>
            <a:off x="20680337" y="6208295"/>
            <a:ext cx="431074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211</a:t>
            </a:r>
          </a:p>
        </xdr:txBody>
      </xdr:sp>
    </xdr:grpSp>
    <xdr:clientData/>
  </xdr:twoCellAnchor>
  <xdr:twoCellAnchor>
    <xdr:from>
      <xdr:col>29</xdr:col>
      <xdr:colOff>584036</xdr:colOff>
      <xdr:row>23</xdr:row>
      <xdr:rowOff>22325</xdr:rowOff>
    </xdr:from>
    <xdr:to>
      <xdr:col>31</xdr:col>
      <xdr:colOff>159274</xdr:colOff>
      <xdr:row>24</xdr:row>
      <xdr:rowOff>91116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E70F8A46-346D-4BA1-B7E9-CEB47D4BC11B}"/>
            </a:ext>
          </a:extLst>
        </xdr:cNvPr>
        <xdr:cNvGrpSpPr/>
      </xdr:nvGrpSpPr>
      <xdr:grpSpPr>
        <a:xfrm flipH="1">
          <a:off x="22010165" y="6323164"/>
          <a:ext cx="1959561" cy="544017"/>
          <a:chOff x="19748563" y="6093579"/>
          <a:chExt cx="1716860" cy="542013"/>
        </a:xfrm>
      </xdr:grpSpPr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AE21F1F7-B11B-47AE-82FC-1B8536A00923}"/>
              </a:ext>
            </a:extLst>
          </xdr:cNvPr>
          <xdr:cNvGrpSpPr/>
        </xdr:nvGrpSpPr>
        <xdr:grpSpPr>
          <a:xfrm>
            <a:off x="20118571" y="6312460"/>
            <a:ext cx="1079432" cy="113314"/>
            <a:chOff x="19986404" y="6331783"/>
            <a:chExt cx="1147011" cy="113314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92B02D7A-D63D-4430-B14F-6B86F8AD1784}"/>
                </a:ext>
              </a:extLst>
            </xdr:cNvPr>
            <xdr:cNvCxnSpPr/>
          </xdr:nvCxnSpPr>
          <xdr:spPr>
            <a:xfrm>
              <a:off x="21128182" y="6355773"/>
              <a:ext cx="4692" cy="8647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9AC8C3D2-2E9C-4D52-806D-80002B0CF8DA}"/>
                </a:ext>
              </a:extLst>
            </xdr:cNvPr>
            <xdr:cNvCxnSpPr/>
          </xdr:nvCxnSpPr>
          <xdr:spPr>
            <a:xfrm flipH="1">
              <a:off x="20379671" y="6442268"/>
              <a:ext cx="753744" cy="282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761FB8F7-83C0-460F-8474-60FBF7300456}"/>
                </a:ext>
              </a:extLst>
            </xdr:cNvPr>
            <xdr:cNvCxnSpPr/>
          </xdr:nvCxnSpPr>
          <xdr:spPr>
            <a:xfrm>
              <a:off x="20208641" y="6339013"/>
              <a:ext cx="174662" cy="10472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C14D4314-7F70-4550-8E65-1A232FA94DAF}"/>
                </a:ext>
              </a:extLst>
            </xdr:cNvPr>
            <xdr:cNvCxnSpPr/>
          </xdr:nvCxnSpPr>
          <xdr:spPr>
            <a:xfrm>
              <a:off x="19989874" y="6334097"/>
              <a:ext cx="218767" cy="491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36D085A8-C53F-4D3F-848D-DB4FC7188960}"/>
                </a:ext>
              </a:extLst>
            </xdr:cNvPr>
            <xdr:cNvCxnSpPr/>
          </xdr:nvCxnSpPr>
          <xdr:spPr>
            <a:xfrm>
              <a:off x="19986404" y="6331783"/>
              <a:ext cx="1012" cy="7605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F38EDDB8-2DCF-4728-B180-A2CBF67226B2}"/>
              </a:ext>
            </a:extLst>
          </xdr:cNvPr>
          <xdr:cNvSpPr/>
        </xdr:nvSpPr>
        <xdr:spPr>
          <a:xfrm>
            <a:off x="21033662" y="6236372"/>
            <a:ext cx="431761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22     </a:t>
            </a:r>
          </a:p>
        </xdr:txBody>
      </xdr: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E30485BB-A1B6-41B9-BAC0-ADFE5201FCEA}"/>
              </a:ext>
            </a:extLst>
          </xdr:cNvPr>
          <xdr:cNvSpPr/>
        </xdr:nvSpPr>
        <xdr:spPr>
          <a:xfrm>
            <a:off x="19748563" y="6209191"/>
            <a:ext cx="429700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22</a:t>
            </a:r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B667F2BA-4F35-46D3-9E4F-A1829B273773}"/>
              </a:ext>
            </a:extLst>
          </xdr:cNvPr>
          <xdr:cNvSpPr/>
        </xdr:nvSpPr>
        <xdr:spPr>
          <a:xfrm>
            <a:off x="19967086" y="6093579"/>
            <a:ext cx="431074" cy="40059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29</a:t>
            </a: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4BFE8AB8-E51E-4EB1-9A04-464538EC5B30}"/>
              </a:ext>
            </a:extLst>
          </xdr:cNvPr>
          <xdr:cNvSpPr/>
        </xdr:nvSpPr>
        <xdr:spPr>
          <a:xfrm>
            <a:off x="20241629" y="6157997"/>
            <a:ext cx="431074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20</a:t>
            </a:r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6C75605C-3381-4D30-9AB8-C2EBD5BF4369}"/>
              </a:ext>
            </a:extLst>
          </xdr:cNvPr>
          <xdr:cNvSpPr/>
        </xdr:nvSpPr>
        <xdr:spPr>
          <a:xfrm>
            <a:off x="20680337" y="6208295"/>
            <a:ext cx="431074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211</a:t>
            </a:r>
          </a:p>
        </xdr:txBody>
      </xdr:sp>
    </xdr:grpSp>
    <xdr:clientData/>
  </xdr:twoCellAnchor>
  <xdr:twoCellAnchor>
    <xdr:from>
      <xdr:col>30</xdr:col>
      <xdr:colOff>436399</xdr:colOff>
      <xdr:row>24</xdr:row>
      <xdr:rowOff>74712</xdr:rowOff>
    </xdr:from>
    <xdr:to>
      <xdr:col>30</xdr:col>
      <xdr:colOff>1144387</xdr:colOff>
      <xdr:row>25</xdr:row>
      <xdr:rowOff>1168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D92E6BBE-C822-4099-935B-2074F176E98B}"/>
            </a:ext>
          </a:extLst>
        </xdr:cNvPr>
        <xdr:cNvGrpSpPr/>
      </xdr:nvGrpSpPr>
      <xdr:grpSpPr>
        <a:xfrm>
          <a:off x="22558980" y="6850777"/>
          <a:ext cx="707988" cy="401681"/>
          <a:chOff x="20305549" y="7042250"/>
          <a:chExt cx="707988" cy="397943"/>
        </a:xfrm>
      </xdr:grpSpPr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37DF2D6-2B76-4148-A66B-F3767D17BA6B}"/>
              </a:ext>
            </a:extLst>
          </xdr:cNvPr>
          <xdr:cNvCxnSpPr/>
        </xdr:nvCxnSpPr>
        <xdr:spPr>
          <a:xfrm>
            <a:off x="20305549" y="7280375"/>
            <a:ext cx="707988" cy="282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DB5628DB-469D-490B-99DC-D83C5958D2A4}"/>
              </a:ext>
            </a:extLst>
          </xdr:cNvPr>
          <xdr:cNvSpPr/>
        </xdr:nvSpPr>
        <xdr:spPr>
          <a:xfrm flipH="1">
            <a:off x="20424610" y="7042250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1519</a:t>
            </a:r>
          </a:p>
        </xdr:txBody>
      </xdr:sp>
    </xdr:grpSp>
    <xdr:clientData/>
  </xdr:twoCellAnchor>
  <xdr:twoCellAnchor>
    <xdr:from>
      <xdr:col>30</xdr:col>
      <xdr:colOff>160174</xdr:colOff>
      <xdr:row>24</xdr:row>
      <xdr:rowOff>465237</xdr:rowOff>
    </xdr:from>
    <xdr:to>
      <xdr:col>30</xdr:col>
      <xdr:colOff>1495425</xdr:colOff>
      <xdr:row>26</xdr:row>
      <xdr:rowOff>67842</xdr:rowOff>
    </xdr:to>
    <xdr:grpSp>
      <xdr:nvGrpSpPr>
        <xdr:cNvPr id="117" name="Group 116">
          <a:extLst>
            <a:ext uri="{FF2B5EF4-FFF2-40B4-BE49-F238E27FC236}">
              <a16:creationId xmlns:a16="http://schemas.microsoft.com/office/drawing/2014/main" id="{5302A53D-7B8C-48D6-97E2-FDEEEFDD2D10}"/>
            </a:ext>
          </a:extLst>
        </xdr:cNvPr>
        <xdr:cNvGrpSpPr/>
      </xdr:nvGrpSpPr>
      <xdr:grpSpPr>
        <a:xfrm>
          <a:off x="22282755" y="7241302"/>
          <a:ext cx="1335251" cy="553056"/>
          <a:chOff x="20026603" y="7497408"/>
          <a:chExt cx="1335251" cy="538777"/>
        </a:xfrm>
      </xdr:grpSpPr>
      <xdr:grpSp>
        <xdr:nvGrpSpPr>
          <xdr:cNvPr id="68" name="Group 67">
            <a:extLst>
              <a:ext uri="{FF2B5EF4-FFF2-40B4-BE49-F238E27FC236}">
                <a16:creationId xmlns:a16="http://schemas.microsoft.com/office/drawing/2014/main" id="{BC96147F-8F12-4740-B74C-5DBB1AA42012}"/>
              </a:ext>
            </a:extLst>
          </xdr:cNvPr>
          <xdr:cNvGrpSpPr/>
        </xdr:nvGrpSpPr>
        <xdr:grpSpPr>
          <a:xfrm>
            <a:off x="20307591" y="7497408"/>
            <a:ext cx="707988" cy="394542"/>
            <a:chOff x="20310312" y="7432775"/>
            <a:chExt cx="707988" cy="397943"/>
          </a:xfrm>
        </xdr:grpSpPr>
        <xdr:grpSp>
          <xdr:nvGrpSpPr>
            <xdr:cNvPr id="60" name="Group 59">
              <a:extLst>
                <a:ext uri="{FF2B5EF4-FFF2-40B4-BE49-F238E27FC236}">
                  <a16:creationId xmlns:a16="http://schemas.microsoft.com/office/drawing/2014/main" id="{6A7B9EE6-B27E-4F81-9B0C-7D1FADBDD24B}"/>
                </a:ext>
              </a:extLst>
            </xdr:cNvPr>
            <xdr:cNvGrpSpPr/>
          </xdr:nvGrpSpPr>
          <xdr:grpSpPr>
            <a:xfrm>
              <a:off x="20310312" y="7432775"/>
              <a:ext cx="707988" cy="397943"/>
              <a:chOff x="20315074" y="7494688"/>
              <a:chExt cx="707988" cy="397943"/>
            </a:xfrm>
          </xdr:grpSpPr>
          <xdr:grpSp>
            <xdr:nvGrpSpPr>
              <xdr:cNvPr id="61" name="Group 60">
                <a:extLst>
                  <a:ext uri="{FF2B5EF4-FFF2-40B4-BE49-F238E27FC236}">
                    <a16:creationId xmlns:a16="http://schemas.microsoft.com/office/drawing/2014/main" id="{A6996A87-086C-46E8-9502-20033897D960}"/>
                  </a:ext>
                </a:extLst>
              </xdr:cNvPr>
              <xdr:cNvGrpSpPr/>
            </xdr:nvGrpSpPr>
            <xdr:grpSpPr>
              <a:xfrm>
                <a:off x="20315074" y="7494688"/>
                <a:ext cx="707988" cy="397943"/>
                <a:chOff x="20305549" y="7047013"/>
                <a:chExt cx="707988" cy="397943"/>
              </a:xfrm>
            </xdr:grpSpPr>
            <xdr:cxnSp macro="">
              <xdr:nvCxnSpPr>
                <xdr:cNvPr id="62" name="Straight Connector 61">
                  <a:extLst>
                    <a:ext uri="{FF2B5EF4-FFF2-40B4-BE49-F238E27FC236}">
                      <a16:creationId xmlns:a16="http://schemas.microsoft.com/office/drawing/2014/main" id="{C2AB4438-E26B-43CB-8C35-298EE89F3986}"/>
                    </a:ext>
                  </a:extLst>
                </xdr:cNvPr>
                <xdr:cNvCxnSpPr/>
              </xdr:nvCxnSpPr>
              <xdr:spPr>
                <a:xfrm>
                  <a:off x="20305549" y="7280375"/>
                  <a:ext cx="707988" cy="2820"/>
                </a:xfrm>
                <a:prstGeom prst="line">
                  <a:avLst/>
                </a:prstGeom>
                <a:ln w="1270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63" name="Rectangle 62">
                  <a:extLst>
                    <a:ext uri="{FF2B5EF4-FFF2-40B4-BE49-F238E27FC236}">
                      <a16:creationId xmlns:a16="http://schemas.microsoft.com/office/drawing/2014/main" id="{D0640C47-2041-4F0D-98ED-EA696BA4B488}"/>
                    </a:ext>
                  </a:extLst>
                </xdr:cNvPr>
                <xdr:cNvSpPr/>
              </xdr:nvSpPr>
              <xdr:spPr>
                <a:xfrm flipH="1">
                  <a:off x="20467473" y="7047013"/>
                  <a:ext cx="506577" cy="397943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US" sz="1200" b="1">
                      <a:solidFill>
                        <a:schemeClr val="tx1"/>
                      </a:solidFill>
                    </a:rPr>
                    <a:t>250</a:t>
                  </a:r>
                </a:p>
              </xdr:txBody>
            </xdr:sp>
          </xdr:grpSp>
          <xdr:cxnSp macro="">
            <xdr:nvCxnSpPr>
              <xdr:cNvPr id="64" name="Straight Connector 63">
                <a:extLst>
                  <a:ext uri="{FF2B5EF4-FFF2-40B4-BE49-F238E27FC236}">
                    <a16:creationId xmlns:a16="http://schemas.microsoft.com/office/drawing/2014/main" id="{84870DF7-5AE4-4381-B375-EA526FCD3A27}"/>
                  </a:ext>
                </a:extLst>
              </xdr:cNvPr>
              <xdr:cNvCxnSpPr/>
            </xdr:nvCxnSpPr>
            <xdr:spPr>
              <a:xfrm>
                <a:off x="21020876" y="7732812"/>
                <a:ext cx="799" cy="101501"/>
              </a:xfrm>
              <a:prstGeom prst="line">
                <a:avLst/>
              </a:prstGeom>
              <a:ln w="1270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70" name="Straight Connector 69">
              <a:extLst>
                <a:ext uri="{FF2B5EF4-FFF2-40B4-BE49-F238E27FC236}">
                  <a16:creationId xmlns:a16="http://schemas.microsoft.com/office/drawing/2014/main" id="{966130F1-42EC-42B6-B140-67A6F17BE6F8}"/>
                </a:ext>
              </a:extLst>
            </xdr:cNvPr>
            <xdr:cNvCxnSpPr/>
          </xdr:nvCxnSpPr>
          <xdr:spPr>
            <a:xfrm>
              <a:off x="20315075" y="7670900"/>
              <a:ext cx="799" cy="10150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B53A68F8-5553-4968-9AA5-306B58D83A8F}"/>
              </a:ext>
            </a:extLst>
          </xdr:cNvPr>
          <xdr:cNvSpPr/>
        </xdr:nvSpPr>
        <xdr:spPr>
          <a:xfrm flipH="1">
            <a:off x="20974341" y="7646407"/>
            <a:ext cx="387513" cy="3253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38C0F1E5-4597-4B4C-8E48-1E5D136D90BE}"/>
              </a:ext>
            </a:extLst>
          </xdr:cNvPr>
          <xdr:cNvSpPr/>
        </xdr:nvSpPr>
        <xdr:spPr>
          <a:xfrm flipH="1">
            <a:off x="20026603" y="7641644"/>
            <a:ext cx="428884" cy="3945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15</a:t>
            </a:r>
          </a:p>
        </xdr:txBody>
      </xdr:sp>
    </xdr:grpSp>
    <xdr:clientData/>
  </xdr:twoCellAnchor>
  <xdr:twoCellAnchor>
    <xdr:from>
      <xdr:col>30</xdr:col>
      <xdr:colOff>417349</xdr:colOff>
      <xdr:row>26</xdr:row>
      <xdr:rowOff>65187</xdr:rowOff>
    </xdr:from>
    <xdr:to>
      <xdr:col>30</xdr:col>
      <xdr:colOff>1125337</xdr:colOff>
      <xdr:row>26</xdr:row>
      <xdr:rowOff>463130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424149B8-2E9B-497A-99A9-7EEEDE27A1F2}"/>
            </a:ext>
          </a:extLst>
        </xdr:cNvPr>
        <xdr:cNvGrpSpPr/>
      </xdr:nvGrpSpPr>
      <xdr:grpSpPr>
        <a:xfrm>
          <a:off x="22539930" y="7791703"/>
          <a:ext cx="707988" cy="397943"/>
          <a:chOff x="20305549" y="7042250"/>
          <a:chExt cx="707988" cy="397943"/>
        </a:xfrm>
      </xdr:grpSpPr>
      <xdr:cxnSp macro="">
        <xdr:nvCxnSpPr>
          <xdr:cNvPr id="75" name="Straight Connector 74">
            <a:extLst>
              <a:ext uri="{FF2B5EF4-FFF2-40B4-BE49-F238E27FC236}">
                <a16:creationId xmlns:a16="http://schemas.microsoft.com/office/drawing/2014/main" id="{C9262714-AAE7-4008-A12E-DDD8DD6F67A3}"/>
              </a:ext>
            </a:extLst>
          </xdr:cNvPr>
          <xdr:cNvCxnSpPr/>
        </xdr:nvCxnSpPr>
        <xdr:spPr>
          <a:xfrm>
            <a:off x="20305549" y="7280375"/>
            <a:ext cx="707988" cy="282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11CB4791-77E2-4669-A63F-9151EDECE368}"/>
              </a:ext>
            </a:extLst>
          </xdr:cNvPr>
          <xdr:cNvSpPr/>
        </xdr:nvSpPr>
        <xdr:spPr>
          <a:xfrm flipH="1">
            <a:off x="20424610" y="7042250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1497</a:t>
            </a:r>
          </a:p>
        </xdr:txBody>
      </xdr:sp>
    </xdr:grpSp>
    <xdr:clientData/>
  </xdr:twoCellAnchor>
  <xdr:twoCellAnchor>
    <xdr:from>
      <xdr:col>30</xdr:col>
      <xdr:colOff>431637</xdr:colOff>
      <xdr:row>27</xdr:row>
      <xdr:rowOff>60425</xdr:rowOff>
    </xdr:from>
    <xdr:to>
      <xdr:col>30</xdr:col>
      <xdr:colOff>1139625</xdr:colOff>
      <xdr:row>27</xdr:row>
      <xdr:rowOff>458368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37E4A63B-6B94-45C7-AA0E-5B5441F61679}"/>
            </a:ext>
          </a:extLst>
        </xdr:cNvPr>
        <xdr:cNvGrpSpPr/>
      </xdr:nvGrpSpPr>
      <xdr:grpSpPr>
        <a:xfrm>
          <a:off x="22554218" y="8262167"/>
          <a:ext cx="707988" cy="397943"/>
          <a:chOff x="20305549" y="7042250"/>
          <a:chExt cx="707988" cy="397943"/>
        </a:xfrm>
      </xdr:grpSpPr>
      <xdr:cxnSp macro="">
        <xdr:nvCxnSpPr>
          <xdr:cNvPr id="78" name="Straight Connector 77">
            <a:extLst>
              <a:ext uri="{FF2B5EF4-FFF2-40B4-BE49-F238E27FC236}">
                <a16:creationId xmlns:a16="http://schemas.microsoft.com/office/drawing/2014/main" id="{C7294018-43A2-416F-B116-91E5A5DF3F19}"/>
              </a:ext>
            </a:extLst>
          </xdr:cNvPr>
          <xdr:cNvCxnSpPr/>
        </xdr:nvCxnSpPr>
        <xdr:spPr>
          <a:xfrm>
            <a:off x="20305549" y="7280375"/>
            <a:ext cx="707988" cy="282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70533794-9CB2-41FA-A80D-7C20E39766A2}"/>
              </a:ext>
            </a:extLst>
          </xdr:cNvPr>
          <xdr:cNvSpPr/>
        </xdr:nvSpPr>
        <xdr:spPr>
          <a:xfrm flipH="1">
            <a:off x="20424610" y="7042250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1497</a:t>
            </a:r>
          </a:p>
        </xdr:txBody>
      </xdr:sp>
    </xdr:grpSp>
    <xdr:clientData/>
  </xdr:twoCellAnchor>
  <xdr:twoCellAnchor>
    <xdr:from>
      <xdr:col>30</xdr:col>
      <xdr:colOff>445924</xdr:colOff>
      <xdr:row>29</xdr:row>
      <xdr:rowOff>65187</xdr:rowOff>
    </xdr:from>
    <xdr:to>
      <xdr:col>30</xdr:col>
      <xdr:colOff>1153912</xdr:colOff>
      <xdr:row>29</xdr:row>
      <xdr:rowOff>463130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C6C0EF5B-D1C8-4C39-BAD5-A3400B86EA75}"/>
            </a:ext>
          </a:extLst>
        </xdr:cNvPr>
        <xdr:cNvGrpSpPr/>
      </xdr:nvGrpSpPr>
      <xdr:grpSpPr>
        <a:xfrm>
          <a:off x="22568505" y="9217381"/>
          <a:ext cx="707988" cy="397943"/>
          <a:chOff x="20305549" y="7042250"/>
          <a:chExt cx="707988" cy="397943"/>
        </a:xfrm>
      </xdr:grpSpPr>
      <xdr:cxnSp macro="">
        <xdr:nvCxnSpPr>
          <xdr:cNvPr id="82" name="Straight Connector 81">
            <a:extLst>
              <a:ext uri="{FF2B5EF4-FFF2-40B4-BE49-F238E27FC236}">
                <a16:creationId xmlns:a16="http://schemas.microsoft.com/office/drawing/2014/main" id="{2AE8C3D8-F7DF-47DC-BBC8-359E417EEBE0}"/>
              </a:ext>
            </a:extLst>
          </xdr:cNvPr>
          <xdr:cNvCxnSpPr/>
        </xdr:nvCxnSpPr>
        <xdr:spPr>
          <a:xfrm>
            <a:off x="20305549" y="7280375"/>
            <a:ext cx="707988" cy="282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8987B1C5-872A-4D8F-9988-630659EF55FB}"/>
              </a:ext>
            </a:extLst>
          </xdr:cNvPr>
          <xdr:cNvSpPr/>
        </xdr:nvSpPr>
        <xdr:spPr>
          <a:xfrm flipH="1">
            <a:off x="20424610" y="7042250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250</a:t>
            </a:r>
          </a:p>
        </xdr:txBody>
      </xdr:sp>
    </xdr:grpSp>
    <xdr:clientData/>
  </xdr:twoCellAnchor>
  <xdr:twoCellAnchor>
    <xdr:from>
      <xdr:col>30</xdr:col>
      <xdr:colOff>137113</xdr:colOff>
      <xdr:row>27</xdr:row>
      <xdr:rowOff>402071</xdr:rowOff>
    </xdr:from>
    <xdr:to>
      <xdr:col>31</xdr:col>
      <xdr:colOff>78206</xdr:colOff>
      <xdr:row>29</xdr:row>
      <xdr:rowOff>102183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8A88A9D9-7D25-4D84-A11C-A0BE5A7576C8}"/>
            </a:ext>
          </a:extLst>
        </xdr:cNvPr>
        <xdr:cNvGrpSpPr/>
      </xdr:nvGrpSpPr>
      <xdr:grpSpPr>
        <a:xfrm>
          <a:off x="22259694" y="8603813"/>
          <a:ext cx="1628964" cy="650564"/>
          <a:chOff x="20029324" y="8824176"/>
          <a:chExt cx="1457071" cy="646596"/>
        </a:xfrm>
      </xdr:grpSpPr>
      <xdr:grpSp>
        <xdr:nvGrpSpPr>
          <xdr:cNvPr id="96" name="Group 95">
            <a:extLst>
              <a:ext uri="{FF2B5EF4-FFF2-40B4-BE49-F238E27FC236}">
                <a16:creationId xmlns:a16="http://schemas.microsoft.com/office/drawing/2014/main" id="{D6A6EED0-7005-4EAB-BF97-7192F943F22E}"/>
              </a:ext>
            </a:extLst>
          </xdr:cNvPr>
          <xdr:cNvGrpSpPr/>
        </xdr:nvGrpSpPr>
        <xdr:grpSpPr>
          <a:xfrm>
            <a:off x="20311070" y="8965972"/>
            <a:ext cx="716353" cy="306944"/>
            <a:chOff x="20311070" y="8965972"/>
            <a:chExt cx="716353" cy="306944"/>
          </a:xfrm>
        </xdr:grpSpPr>
        <xdr:cxnSp macro="">
          <xdr:nvCxnSpPr>
            <xdr:cNvPr id="84" name="Straight Connector 83">
              <a:extLst>
                <a:ext uri="{FF2B5EF4-FFF2-40B4-BE49-F238E27FC236}">
                  <a16:creationId xmlns:a16="http://schemas.microsoft.com/office/drawing/2014/main" id="{D91B7FAA-FBD2-40E0-9026-CE207C3C4924}"/>
                </a:ext>
              </a:extLst>
            </xdr:cNvPr>
            <xdr:cNvCxnSpPr/>
          </xdr:nvCxnSpPr>
          <xdr:spPr>
            <a:xfrm>
              <a:off x="20314323" y="9270096"/>
              <a:ext cx="707988" cy="282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5" name="Straight Connector 84">
              <a:extLst>
                <a:ext uri="{FF2B5EF4-FFF2-40B4-BE49-F238E27FC236}">
                  <a16:creationId xmlns:a16="http://schemas.microsoft.com/office/drawing/2014/main" id="{2CC03CA0-004E-4ABD-9E11-A0660C26FDA1}"/>
                </a:ext>
              </a:extLst>
            </xdr:cNvPr>
            <xdr:cNvCxnSpPr/>
          </xdr:nvCxnSpPr>
          <xdr:spPr>
            <a:xfrm>
              <a:off x="20312241" y="8973406"/>
              <a:ext cx="2881" cy="29341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Straight Connector 88">
              <a:extLst>
                <a:ext uri="{FF2B5EF4-FFF2-40B4-BE49-F238E27FC236}">
                  <a16:creationId xmlns:a16="http://schemas.microsoft.com/office/drawing/2014/main" id="{D69B89B3-6AFE-4C34-9C3A-98E78AA00D96}"/>
                </a:ext>
              </a:extLst>
            </xdr:cNvPr>
            <xdr:cNvCxnSpPr/>
          </xdr:nvCxnSpPr>
          <xdr:spPr>
            <a:xfrm flipV="1">
              <a:off x="20311070" y="8965972"/>
              <a:ext cx="131268" cy="432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" name="Straight Connector 91">
              <a:extLst>
                <a:ext uri="{FF2B5EF4-FFF2-40B4-BE49-F238E27FC236}">
                  <a16:creationId xmlns:a16="http://schemas.microsoft.com/office/drawing/2014/main" id="{8776B3B1-6FE7-4F1A-AC83-894BFF105CAD}"/>
                </a:ext>
              </a:extLst>
            </xdr:cNvPr>
            <xdr:cNvCxnSpPr/>
          </xdr:nvCxnSpPr>
          <xdr:spPr>
            <a:xfrm>
              <a:off x="20438622" y="8969689"/>
              <a:ext cx="2229" cy="27617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Straight Connector 92">
              <a:extLst>
                <a:ext uri="{FF2B5EF4-FFF2-40B4-BE49-F238E27FC236}">
                  <a16:creationId xmlns:a16="http://schemas.microsoft.com/office/drawing/2014/main" id="{FE534969-8152-413A-84C0-8CDCC288FED8}"/>
                </a:ext>
              </a:extLst>
            </xdr:cNvPr>
            <xdr:cNvCxnSpPr/>
          </xdr:nvCxnSpPr>
          <xdr:spPr>
            <a:xfrm>
              <a:off x="20337219" y="9145283"/>
              <a:ext cx="690204" cy="67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Straight Connector 97">
              <a:extLst>
                <a:ext uri="{FF2B5EF4-FFF2-40B4-BE49-F238E27FC236}">
                  <a16:creationId xmlns:a16="http://schemas.microsoft.com/office/drawing/2014/main" id="{BEB2F8FD-F3A3-481F-BAD6-47016CD5ECBE}"/>
                </a:ext>
              </a:extLst>
            </xdr:cNvPr>
            <xdr:cNvCxnSpPr/>
          </xdr:nvCxnSpPr>
          <xdr:spPr>
            <a:xfrm flipV="1">
              <a:off x="21021774" y="9145283"/>
              <a:ext cx="1245" cy="124012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0C1CC863-6912-42E5-AA24-C8B3CD1EAF6B}"/>
              </a:ext>
            </a:extLst>
          </xdr:cNvPr>
          <xdr:cNvSpPr/>
        </xdr:nvSpPr>
        <xdr:spPr>
          <a:xfrm flipH="1">
            <a:off x="20526629" y="8928450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45</a:t>
            </a:r>
          </a:p>
        </xdr:txBody>
      </xdr:sp>
      <xdr:sp macro="" textlink="">
        <xdr:nvSpPr>
          <xdr:cNvPr id="102" name="Rectangle 101">
            <a:extLst>
              <a:ext uri="{FF2B5EF4-FFF2-40B4-BE49-F238E27FC236}">
                <a16:creationId xmlns:a16="http://schemas.microsoft.com/office/drawing/2014/main" id="{940F9006-0357-4369-95E2-4EC3BEABAFF5}"/>
              </a:ext>
            </a:extLst>
          </xdr:cNvPr>
          <xdr:cNvSpPr/>
        </xdr:nvSpPr>
        <xdr:spPr>
          <a:xfrm flipH="1">
            <a:off x="20029324" y="9020692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45</a:t>
            </a:r>
          </a:p>
        </xdr:txBody>
      </xdr:sp>
      <xdr:sp macro="" textlink="">
        <xdr:nvSpPr>
          <xdr:cNvPr id="103" name="Rectangle 102">
            <a:extLst>
              <a:ext uri="{FF2B5EF4-FFF2-40B4-BE49-F238E27FC236}">
                <a16:creationId xmlns:a16="http://schemas.microsoft.com/office/drawing/2014/main" id="{1AC33DC3-41BF-44A0-8331-5309F44B6071}"/>
              </a:ext>
            </a:extLst>
          </xdr:cNvPr>
          <xdr:cNvSpPr/>
        </xdr:nvSpPr>
        <xdr:spPr>
          <a:xfrm flipH="1">
            <a:off x="20979818" y="9072829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22</a:t>
            </a:r>
          </a:p>
        </xdr:txBody>
      </xdr:sp>
      <xdr:sp macro="" textlink="">
        <xdr:nvSpPr>
          <xdr:cNvPr id="104" name="Rectangle 103">
            <a:extLst>
              <a:ext uri="{FF2B5EF4-FFF2-40B4-BE49-F238E27FC236}">
                <a16:creationId xmlns:a16="http://schemas.microsoft.com/office/drawing/2014/main" id="{5FEE4C21-7AAE-40E4-A8F4-F19573558901}"/>
              </a:ext>
            </a:extLst>
          </xdr:cNvPr>
          <xdr:cNvSpPr/>
        </xdr:nvSpPr>
        <xdr:spPr>
          <a:xfrm flipH="1">
            <a:off x="20029324" y="8824176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17</a:t>
            </a:r>
          </a:p>
        </xdr:txBody>
      </xdr:sp>
    </xdr:grpSp>
    <xdr:clientData/>
  </xdr:twoCellAnchor>
  <xdr:twoCellAnchor>
    <xdr:from>
      <xdr:col>30</xdr:col>
      <xdr:colOff>245395</xdr:colOff>
      <xdr:row>29</xdr:row>
      <xdr:rowOff>402071</xdr:rowOff>
    </xdr:from>
    <xdr:to>
      <xdr:col>30</xdr:col>
      <xdr:colOff>1231230</xdr:colOff>
      <xdr:row>30</xdr:row>
      <xdr:rowOff>409073</xdr:rowOff>
    </xdr:to>
    <xdr:grpSp>
      <xdr:nvGrpSpPr>
        <xdr:cNvPr id="115" name="Group 114">
          <a:extLst>
            <a:ext uri="{FF2B5EF4-FFF2-40B4-BE49-F238E27FC236}">
              <a16:creationId xmlns:a16="http://schemas.microsoft.com/office/drawing/2014/main" id="{9C45E0D6-C0E8-44B3-8B66-3A9330F74AD1}"/>
            </a:ext>
          </a:extLst>
        </xdr:cNvPr>
        <xdr:cNvGrpSpPr/>
      </xdr:nvGrpSpPr>
      <xdr:grpSpPr>
        <a:xfrm>
          <a:off x="22367976" y="9554265"/>
          <a:ext cx="985835" cy="482227"/>
          <a:chOff x="20137606" y="9770660"/>
          <a:chExt cx="985835" cy="480245"/>
        </a:xfrm>
      </xdr:grpSpPr>
      <xdr:grpSp>
        <xdr:nvGrpSpPr>
          <xdr:cNvPr id="114" name="Group 113">
            <a:extLst>
              <a:ext uri="{FF2B5EF4-FFF2-40B4-BE49-F238E27FC236}">
                <a16:creationId xmlns:a16="http://schemas.microsoft.com/office/drawing/2014/main" id="{73478862-9DBA-4136-824C-62E5695287F2}"/>
              </a:ext>
            </a:extLst>
          </xdr:cNvPr>
          <xdr:cNvGrpSpPr/>
        </xdr:nvGrpSpPr>
        <xdr:grpSpPr>
          <a:xfrm>
            <a:off x="20419080" y="9974179"/>
            <a:ext cx="399239" cy="207486"/>
            <a:chOff x="20635648" y="9974179"/>
            <a:chExt cx="399239" cy="207486"/>
          </a:xfrm>
        </xdr:grpSpPr>
        <xdr:cxnSp macro="">
          <xdr:nvCxnSpPr>
            <xdr:cNvPr id="106" name="Straight Connector 105">
              <a:extLst>
                <a:ext uri="{FF2B5EF4-FFF2-40B4-BE49-F238E27FC236}">
                  <a16:creationId xmlns:a16="http://schemas.microsoft.com/office/drawing/2014/main" id="{28533E71-6EC7-48E8-B242-1D2688DB0B0D}"/>
                </a:ext>
              </a:extLst>
            </xdr:cNvPr>
            <xdr:cNvCxnSpPr/>
          </xdr:nvCxnSpPr>
          <xdr:spPr>
            <a:xfrm flipV="1">
              <a:off x="20635648" y="10178544"/>
              <a:ext cx="394433" cy="312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7" name="Straight Connector 106">
              <a:extLst>
                <a:ext uri="{FF2B5EF4-FFF2-40B4-BE49-F238E27FC236}">
                  <a16:creationId xmlns:a16="http://schemas.microsoft.com/office/drawing/2014/main" id="{8D8B3FA2-B62A-473B-94E8-962218E15B68}"/>
                </a:ext>
              </a:extLst>
            </xdr:cNvPr>
            <xdr:cNvCxnSpPr/>
          </xdr:nvCxnSpPr>
          <xdr:spPr>
            <a:xfrm>
              <a:off x="21031200" y="9974179"/>
              <a:ext cx="2985" cy="20500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" name="Straight Connector 109">
              <a:extLst>
                <a:ext uri="{FF2B5EF4-FFF2-40B4-BE49-F238E27FC236}">
                  <a16:creationId xmlns:a16="http://schemas.microsoft.com/office/drawing/2014/main" id="{8B4F631C-8FB8-47BE-AD66-652F3EDA3497}"/>
                </a:ext>
              </a:extLst>
            </xdr:cNvPr>
            <xdr:cNvCxnSpPr/>
          </xdr:nvCxnSpPr>
          <xdr:spPr>
            <a:xfrm flipV="1">
              <a:off x="20903619" y="9979208"/>
              <a:ext cx="131268" cy="432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" name="Straight Connector 110">
              <a:extLst>
                <a:ext uri="{FF2B5EF4-FFF2-40B4-BE49-F238E27FC236}">
                  <a16:creationId xmlns:a16="http://schemas.microsoft.com/office/drawing/2014/main" id="{25DC9689-286A-4DA6-83F6-CE63D72AEE78}"/>
                </a:ext>
              </a:extLst>
            </xdr:cNvPr>
            <xdr:cNvCxnSpPr/>
          </xdr:nvCxnSpPr>
          <xdr:spPr>
            <a:xfrm flipV="1">
              <a:off x="20846716" y="9987230"/>
              <a:ext cx="55823" cy="3908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" name="Straight Connector 112">
              <a:extLst>
                <a:ext uri="{FF2B5EF4-FFF2-40B4-BE49-F238E27FC236}">
                  <a16:creationId xmlns:a16="http://schemas.microsoft.com/office/drawing/2014/main" id="{CA211CC8-010D-4D25-BDBC-B3BFA9DDB32E}"/>
                </a:ext>
              </a:extLst>
            </xdr:cNvPr>
            <xdr:cNvCxnSpPr/>
          </xdr:nvCxnSpPr>
          <xdr:spPr>
            <a:xfrm flipV="1">
              <a:off x="20646189" y="10027335"/>
              <a:ext cx="204213" cy="7002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18" name="Rectangle 117">
            <a:extLst>
              <a:ext uri="{FF2B5EF4-FFF2-40B4-BE49-F238E27FC236}">
                <a16:creationId xmlns:a16="http://schemas.microsoft.com/office/drawing/2014/main" id="{377C47E8-738B-41A0-9EFA-881C3124187E}"/>
              </a:ext>
            </a:extLst>
          </xdr:cNvPr>
          <xdr:cNvSpPr/>
        </xdr:nvSpPr>
        <xdr:spPr>
          <a:xfrm flipH="1">
            <a:off x="20137606" y="9834829"/>
            <a:ext cx="364203" cy="255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35</a:t>
            </a:r>
          </a:p>
        </xdr:txBody>
      </xdr:sp>
      <xdr:sp macro="" textlink="">
        <xdr:nvSpPr>
          <xdr:cNvPr id="119" name="Rectangle 118">
            <a:extLst>
              <a:ext uri="{FF2B5EF4-FFF2-40B4-BE49-F238E27FC236}">
                <a16:creationId xmlns:a16="http://schemas.microsoft.com/office/drawing/2014/main" id="{D6CEDE1A-6DAA-4688-8D6E-8026F9AE15FE}"/>
              </a:ext>
            </a:extLst>
          </xdr:cNvPr>
          <xdr:cNvSpPr/>
        </xdr:nvSpPr>
        <xdr:spPr>
          <a:xfrm flipH="1">
            <a:off x="20594806" y="9770660"/>
            <a:ext cx="364203" cy="255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7E350FC3-66DB-43A0-B33F-13A4ED917BC3}"/>
              </a:ext>
            </a:extLst>
          </xdr:cNvPr>
          <xdr:cNvSpPr/>
        </xdr:nvSpPr>
        <xdr:spPr>
          <a:xfrm flipH="1">
            <a:off x="20759238" y="9935092"/>
            <a:ext cx="364203" cy="255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25</a:t>
            </a:r>
          </a:p>
        </xdr:txBody>
      </xdr:sp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BC01F48C-75AF-4FEC-A717-9711D6B5A9E5}"/>
              </a:ext>
            </a:extLst>
          </xdr:cNvPr>
          <xdr:cNvSpPr/>
        </xdr:nvSpPr>
        <xdr:spPr>
          <a:xfrm flipH="1">
            <a:off x="20474490" y="9802744"/>
            <a:ext cx="364203" cy="255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122" name="Rectangle 121">
            <a:extLst>
              <a:ext uri="{FF2B5EF4-FFF2-40B4-BE49-F238E27FC236}">
                <a16:creationId xmlns:a16="http://schemas.microsoft.com/office/drawing/2014/main" id="{559D4717-A1B1-4873-8038-47BF0A0CB521}"/>
              </a:ext>
            </a:extLst>
          </xdr:cNvPr>
          <xdr:cNvSpPr/>
        </xdr:nvSpPr>
        <xdr:spPr>
          <a:xfrm flipH="1">
            <a:off x="20137606" y="9995250"/>
            <a:ext cx="364203" cy="255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35</a:t>
            </a:r>
          </a:p>
        </xdr:txBody>
      </xdr:sp>
    </xdr:grpSp>
    <xdr:clientData/>
  </xdr:twoCellAnchor>
  <xdr:twoCellAnchor>
    <xdr:from>
      <xdr:col>45</xdr:col>
      <xdr:colOff>80553</xdr:colOff>
      <xdr:row>22</xdr:row>
      <xdr:rowOff>30480</xdr:rowOff>
    </xdr:from>
    <xdr:to>
      <xdr:col>46</xdr:col>
      <xdr:colOff>39188</xdr:colOff>
      <xdr:row>23</xdr:row>
      <xdr:rowOff>108857</xdr:rowOff>
    </xdr:to>
    <xdr:grpSp>
      <xdr:nvGrpSpPr>
        <xdr:cNvPr id="333" name="Group 332">
          <a:extLst>
            <a:ext uri="{FF2B5EF4-FFF2-40B4-BE49-F238E27FC236}">
              <a16:creationId xmlns:a16="http://schemas.microsoft.com/office/drawing/2014/main" id="{900ADD98-41F9-4350-9EC6-EAE9437DBC5A}"/>
            </a:ext>
          </a:extLst>
        </xdr:cNvPr>
        <xdr:cNvGrpSpPr/>
      </xdr:nvGrpSpPr>
      <xdr:grpSpPr>
        <a:xfrm>
          <a:off x="34296811" y="5856093"/>
          <a:ext cx="1908700" cy="553603"/>
          <a:chOff x="19858750" y="6086375"/>
          <a:chExt cx="1719256" cy="551619"/>
        </a:xfrm>
      </xdr:grpSpPr>
      <xdr:grpSp>
        <xdr:nvGrpSpPr>
          <xdr:cNvPr id="334" name="Group 333">
            <a:extLst>
              <a:ext uri="{FF2B5EF4-FFF2-40B4-BE49-F238E27FC236}">
                <a16:creationId xmlns:a16="http://schemas.microsoft.com/office/drawing/2014/main" id="{191CFC82-D06F-4687-914E-88FC2070E277}"/>
              </a:ext>
            </a:extLst>
          </xdr:cNvPr>
          <xdr:cNvGrpSpPr/>
        </xdr:nvGrpSpPr>
        <xdr:grpSpPr>
          <a:xfrm>
            <a:off x="20118571" y="6312460"/>
            <a:ext cx="1079432" cy="113314"/>
            <a:chOff x="19986404" y="6331783"/>
            <a:chExt cx="1147011" cy="113314"/>
          </a:xfrm>
        </xdr:grpSpPr>
        <xdr:cxnSp macro="">
          <xdr:nvCxnSpPr>
            <xdr:cNvPr id="340" name="Straight Connector 339">
              <a:extLst>
                <a:ext uri="{FF2B5EF4-FFF2-40B4-BE49-F238E27FC236}">
                  <a16:creationId xmlns:a16="http://schemas.microsoft.com/office/drawing/2014/main" id="{B22606D7-2720-4961-9F4D-EB8F94FDCD1A}"/>
                </a:ext>
              </a:extLst>
            </xdr:cNvPr>
            <xdr:cNvCxnSpPr/>
          </xdr:nvCxnSpPr>
          <xdr:spPr>
            <a:xfrm>
              <a:off x="21128182" y="6355773"/>
              <a:ext cx="4692" cy="8647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1" name="Straight Connector 340">
              <a:extLst>
                <a:ext uri="{FF2B5EF4-FFF2-40B4-BE49-F238E27FC236}">
                  <a16:creationId xmlns:a16="http://schemas.microsoft.com/office/drawing/2014/main" id="{11437A9C-4ECB-41B9-A9D3-77DDA6679614}"/>
                </a:ext>
              </a:extLst>
            </xdr:cNvPr>
            <xdr:cNvCxnSpPr/>
          </xdr:nvCxnSpPr>
          <xdr:spPr>
            <a:xfrm flipH="1">
              <a:off x="20379671" y="6442268"/>
              <a:ext cx="753744" cy="282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2" name="Straight Connector 341">
              <a:extLst>
                <a:ext uri="{FF2B5EF4-FFF2-40B4-BE49-F238E27FC236}">
                  <a16:creationId xmlns:a16="http://schemas.microsoft.com/office/drawing/2014/main" id="{8FD5132D-4340-4F83-9AFE-8DD543246A6F}"/>
                </a:ext>
              </a:extLst>
            </xdr:cNvPr>
            <xdr:cNvCxnSpPr/>
          </xdr:nvCxnSpPr>
          <xdr:spPr>
            <a:xfrm>
              <a:off x="20208641" y="6339013"/>
              <a:ext cx="174662" cy="10472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3" name="Straight Connector 342">
              <a:extLst>
                <a:ext uri="{FF2B5EF4-FFF2-40B4-BE49-F238E27FC236}">
                  <a16:creationId xmlns:a16="http://schemas.microsoft.com/office/drawing/2014/main" id="{FBD2D25C-F5A0-4D1E-8C7D-6530DD82F23A}"/>
                </a:ext>
              </a:extLst>
            </xdr:cNvPr>
            <xdr:cNvCxnSpPr/>
          </xdr:nvCxnSpPr>
          <xdr:spPr>
            <a:xfrm>
              <a:off x="19989874" y="6334097"/>
              <a:ext cx="218767" cy="491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4" name="Straight Connector 343">
              <a:extLst>
                <a:ext uri="{FF2B5EF4-FFF2-40B4-BE49-F238E27FC236}">
                  <a16:creationId xmlns:a16="http://schemas.microsoft.com/office/drawing/2014/main" id="{A8200E8F-8534-4C4B-A913-6040316A3CC3}"/>
                </a:ext>
              </a:extLst>
            </xdr:cNvPr>
            <xdr:cNvCxnSpPr/>
          </xdr:nvCxnSpPr>
          <xdr:spPr>
            <a:xfrm>
              <a:off x="19986404" y="6331783"/>
              <a:ext cx="1012" cy="7605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35" name="Rectangle 334">
            <a:extLst>
              <a:ext uri="{FF2B5EF4-FFF2-40B4-BE49-F238E27FC236}">
                <a16:creationId xmlns:a16="http://schemas.microsoft.com/office/drawing/2014/main" id="{E8389FBD-C372-4D9A-8831-BAA88F5D708C}"/>
              </a:ext>
            </a:extLst>
          </xdr:cNvPr>
          <xdr:cNvSpPr/>
        </xdr:nvSpPr>
        <xdr:spPr>
          <a:xfrm>
            <a:off x="21146245" y="6238774"/>
            <a:ext cx="431761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27     </a:t>
            </a:r>
          </a:p>
        </xdr:txBody>
      </xdr:sp>
      <xdr:sp macro="" textlink="">
        <xdr:nvSpPr>
          <xdr:cNvPr id="336" name="Rectangle 335">
            <a:extLst>
              <a:ext uri="{FF2B5EF4-FFF2-40B4-BE49-F238E27FC236}">
                <a16:creationId xmlns:a16="http://schemas.microsoft.com/office/drawing/2014/main" id="{A12ED3CA-5376-41B7-9726-1B753BFE084B}"/>
              </a:ext>
            </a:extLst>
          </xdr:cNvPr>
          <xdr:cNvSpPr/>
        </xdr:nvSpPr>
        <xdr:spPr>
          <a:xfrm>
            <a:off x="19858750" y="6199586"/>
            <a:ext cx="429700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27</a:t>
            </a:r>
          </a:p>
        </xdr:txBody>
      </xdr:sp>
      <xdr:sp macro="" textlink="">
        <xdr:nvSpPr>
          <xdr:cNvPr id="337" name="Rectangle 336">
            <a:extLst>
              <a:ext uri="{FF2B5EF4-FFF2-40B4-BE49-F238E27FC236}">
                <a16:creationId xmlns:a16="http://schemas.microsoft.com/office/drawing/2014/main" id="{F6B053E5-9BFE-4388-B2CB-302DAB5A0E34}"/>
              </a:ext>
            </a:extLst>
          </xdr:cNvPr>
          <xdr:cNvSpPr/>
        </xdr:nvSpPr>
        <xdr:spPr>
          <a:xfrm>
            <a:off x="20053320" y="6086375"/>
            <a:ext cx="431074" cy="40059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38</a:t>
            </a:r>
          </a:p>
        </xdr:txBody>
      </xdr:sp>
      <xdr:sp macro="" textlink="">
        <xdr:nvSpPr>
          <xdr:cNvPr id="338" name="Rectangle 337">
            <a:extLst>
              <a:ext uri="{FF2B5EF4-FFF2-40B4-BE49-F238E27FC236}">
                <a16:creationId xmlns:a16="http://schemas.microsoft.com/office/drawing/2014/main" id="{9C489BF9-BE82-4F57-98CB-E9FAE672ECE0}"/>
              </a:ext>
            </a:extLst>
          </xdr:cNvPr>
          <xdr:cNvSpPr/>
        </xdr:nvSpPr>
        <xdr:spPr>
          <a:xfrm>
            <a:off x="20301514" y="6160398"/>
            <a:ext cx="431074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42</a:t>
            </a:r>
          </a:p>
        </xdr:txBody>
      </xdr:sp>
      <xdr:sp macro="" textlink="">
        <xdr:nvSpPr>
          <xdr:cNvPr id="339" name="Rectangle 338">
            <a:extLst>
              <a:ext uri="{FF2B5EF4-FFF2-40B4-BE49-F238E27FC236}">
                <a16:creationId xmlns:a16="http://schemas.microsoft.com/office/drawing/2014/main" id="{F6814B6E-B8D9-42B8-8430-D8B28F12B2FE}"/>
              </a:ext>
            </a:extLst>
          </xdr:cNvPr>
          <xdr:cNvSpPr/>
        </xdr:nvSpPr>
        <xdr:spPr>
          <a:xfrm>
            <a:off x="20680337" y="6208295"/>
            <a:ext cx="431074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406</a:t>
            </a:r>
          </a:p>
        </xdr:txBody>
      </xdr:sp>
    </xdr:grpSp>
    <xdr:clientData/>
  </xdr:twoCellAnchor>
  <xdr:twoCellAnchor>
    <xdr:from>
      <xdr:col>45</xdr:col>
      <xdr:colOff>72407</xdr:colOff>
      <xdr:row>23</xdr:row>
      <xdr:rowOff>554</xdr:rowOff>
    </xdr:from>
    <xdr:to>
      <xdr:col>46</xdr:col>
      <xdr:colOff>28645</xdr:colOff>
      <xdr:row>24</xdr:row>
      <xdr:rowOff>69345</xdr:rowOff>
    </xdr:to>
    <xdr:grpSp>
      <xdr:nvGrpSpPr>
        <xdr:cNvPr id="345" name="Group 344">
          <a:extLst>
            <a:ext uri="{FF2B5EF4-FFF2-40B4-BE49-F238E27FC236}">
              <a16:creationId xmlns:a16="http://schemas.microsoft.com/office/drawing/2014/main" id="{FB6EB042-1D12-4279-90CF-E1E1C68AFC0D}"/>
            </a:ext>
          </a:extLst>
        </xdr:cNvPr>
        <xdr:cNvGrpSpPr/>
      </xdr:nvGrpSpPr>
      <xdr:grpSpPr>
        <a:xfrm flipH="1">
          <a:off x="34288665" y="6301393"/>
          <a:ext cx="1906303" cy="544017"/>
          <a:chOff x="19748563" y="6093579"/>
          <a:chExt cx="1716860" cy="542013"/>
        </a:xfrm>
      </xdr:grpSpPr>
      <xdr:grpSp>
        <xdr:nvGrpSpPr>
          <xdr:cNvPr id="346" name="Group 345">
            <a:extLst>
              <a:ext uri="{FF2B5EF4-FFF2-40B4-BE49-F238E27FC236}">
                <a16:creationId xmlns:a16="http://schemas.microsoft.com/office/drawing/2014/main" id="{18593D8E-BA72-420D-A6EE-FFC7AA29B341}"/>
              </a:ext>
            </a:extLst>
          </xdr:cNvPr>
          <xdr:cNvGrpSpPr/>
        </xdr:nvGrpSpPr>
        <xdr:grpSpPr>
          <a:xfrm>
            <a:off x="20118571" y="6312460"/>
            <a:ext cx="1079432" cy="113314"/>
            <a:chOff x="19986404" y="6331783"/>
            <a:chExt cx="1147011" cy="113314"/>
          </a:xfrm>
        </xdr:grpSpPr>
        <xdr:cxnSp macro="">
          <xdr:nvCxnSpPr>
            <xdr:cNvPr id="352" name="Straight Connector 351">
              <a:extLst>
                <a:ext uri="{FF2B5EF4-FFF2-40B4-BE49-F238E27FC236}">
                  <a16:creationId xmlns:a16="http://schemas.microsoft.com/office/drawing/2014/main" id="{93F8C187-6A24-4DF8-801B-9B64C0795F1E}"/>
                </a:ext>
              </a:extLst>
            </xdr:cNvPr>
            <xdr:cNvCxnSpPr/>
          </xdr:nvCxnSpPr>
          <xdr:spPr>
            <a:xfrm>
              <a:off x="21128182" y="6355773"/>
              <a:ext cx="4692" cy="8647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3" name="Straight Connector 352">
              <a:extLst>
                <a:ext uri="{FF2B5EF4-FFF2-40B4-BE49-F238E27FC236}">
                  <a16:creationId xmlns:a16="http://schemas.microsoft.com/office/drawing/2014/main" id="{68C04241-FB4F-40EA-B9A7-3E33F401AE49}"/>
                </a:ext>
              </a:extLst>
            </xdr:cNvPr>
            <xdr:cNvCxnSpPr/>
          </xdr:nvCxnSpPr>
          <xdr:spPr>
            <a:xfrm flipH="1">
              <a:off x="20379671" y="6442268"/>
              <a:ext cx="753744" cy="282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4" name="Straight Connector 353">
              <a:extLst>
                <a:ext uri="{FF2B5EF4-FFF2-40B4-BE49-F238E27FC236}">
                  <a16:creationId xmlns:a16="http://schemas.microsoft.com/office/drawing/2014/main" id="{DBED888C-EC60-4C90-AB8E-332847373CEA}"/>
                </a:ext>
              </a:extLst>
            </xdr:cNvPr>
            <xdr:cNvCxnSpPr/>
          </xdr:nvCxnSpPr>
          <xdr:spPr>
            <a:xfrm>
              <a:off x="20208641" y="6339013"/>
              <a:ext cx="174662" cy="10472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5" name="Straight Connector 354">
              <a:extLst>
                <a:ext uri="{FF2B5EF4-FFF2-40B4-BE49-F238E27FC236}">
                  <a16:creationId xmlns:a16="http://schemas.microsoft.com/office/drawing/2014/main" id="{EB4E22CA-7CAB-4875-8ADD-12C303CF85AE}"/>
                </a:ext>
              </a:extLst>
            </xdr:cNvPr>
            <xdr:cNvCxnSpPr/>
          </xdr:nvCxnSpPr>
          <xdr:spPr>
            <a:xfrm>
              <a:off x="19989874" y="6334097"/>
              <a:ext cx="218767" cy="491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6" name="Straight Connector 355">
              <a:extLst>
                <a:ext uri="{FF2B5EF4-FFF2-40B4-BE49-F238E27FC236}">
                  <a16:creationId xmlns:a16="http://schemas.microsoft.com/office/drawing/2014/main" id="{C371FC58-99EB-4BCC-858C-7847EF1355B0}"/>
                </a:ext>
              </a:extLst>
            </xdr:cNvPr>
            <xdr:cNvCxnSpPr/>
          </xdr:nvCxnSpPr>
          <xdr:spPr>
            <a:xfrm>
              <a:off x="19986404" y="6331783"/>
              <a:ext cx="1012" cy="7605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47" name="Rectangle 346">
            <a:extLst>
              <a:ext uri="{FF2B5EF4-FFF2-40B4-BE49-F238E27FC236}">
                <a16:creationId xmlns:a16="http://schemas.microsoft.com/office/drawing/2014/main" id="{E242AF73-01C0-47D7-8EF3-8A2D4CCE5ED7}"/>
              </a:ext>
            </a:extLst>
          </xdr:cNvPr>
          <xdr:cNvSpPr/>
        </xdr:nvSpPr>
        <xdr:spPr>
          <a:xfrm>
            <a:off x="21033662" y="6236372"/>
            <a:ext cx="431761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27    </a:t>
            </a:r>
          </a:p>
        </xdr:txBody>
      </xdr:sp>
      <xdr:sp macro="" textlink="">
        <xdr:nvSpPr>
          <xdr:cNvPr id="348" name="Rectangle 347">
            <a:extLst>
              <a:ext uri="{FF2B5EF4-FFF2-40B4-BE49-F238E27FC236}">
                <a16:creationId xmlns:a16="http://schemas.microsoft.com/office/drawing/2014/main" id="{ABAF3440-1986-4220-85BF-1F8A1C0BD26E}"/>
              </a:ext>
            </a:extLst>
          </xdr:cNvPr>
          <xdr:cNvSpPr/>
        </xdr:nvSpPr>
        <xdr:spPr>
          <a:xfrm>
            <a:off x="19748563" y="6209191"/>
            <a:ext cx="429700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27</a:t>
            </a:r>
          </a:p>
        </xdr:txBody>
      </xdr:sp>
      <xdr:sp macro="" textlink="">
        <xdr:nvSpPr>
          <xdr:cNvPr id="349" name="Rectangle 348">
            <a:extLst>
              <a:ext uri="{FF2B5EF4-FFF2-40B4-BE49-F238E27FC236}">
                <a16:creationId xmlns:a16="http://schemas.microsoft.com/office/drawing/2014/main" id="{E8F4F8CF-C139-4CFF-B43A-5B8FDBE5CEDF}"/>
              </a:ext>
            </a:extLst>
          </xdr:cNvPr>
          <xdr:cNvSpPr/>
        </xdr:nvSpPr>
        <xdr:spPr>
          <a:xfrm>
            <a:off x="19967086" y="6093579"/>
            <a:ext cx="431074" cy="40059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38</a:t>
            </a:r>
          </a:p>
        </xdr:txBody>
      </xdr:sp>
      <xdr:sp macro="" textlink="">
        <xdr:nvSpPr>
          <xdr:cNvPr id="350" name="Rectangle 349">
            <a:extLst>
              <a:ext uri="{FF2B5EF4-FFF2-40B4-BE49-F238E27FC236}">
                <a16:creationId xmlns:a16="http://schemas.microsoft.com/office/drawing/2014/main" id="{290CAB62-0A06-406F-ACE2-004069D5EB49}"/>
              </a:ext>
            </a:extLst>
          </xdr:cNvPr>
          <xdr:cNvSpPr/>
        </xdr:nvSpPr>
        <xdr:spPr>
          <a:xfrm>
            <a:off x="20241629" y="6157997"/>
            <a:ext cx="431074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42</a:t>
            </a:r>
          </a:p>
        </xdr:txBody>
      </xdr:sp>
      <xdr:sp macro="" textlink="">
        <xdr:nvSpPr>
          <xdr:cNvPr id="351" name="Rectangle 350">
            <a:extLst>
              <a:ext uri="{FF2B5EF4-FFF2-40B4-BE49-F238E27FC236}">
                <a16:creationId xmlns:a16="http://schemas.microsoft.com/office/drawing/2014/main" id="{565C7E29-B8EC-40F8-89DE-A9F2FCC400BB}"/>
              </a:ext>
            </a:extLst>
          </xdr:cNvPr>
          <xdr:cNvSpPr/>
        </xdr:nvSpPr>
        <xdr:spPr>
          <a:xfrm>
            <a:off x="20680337" y="6208295"/>
            <a:ext cx="431074" cy="399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406</a:t>
            </a:r>
          </a:p>
        </xdr:txBody>
      </xdr:sp>
    </xdr:grpSp>
    <xdr:clientData/>
  </xdr:twoCellAnchor>
  <xdr:twoCellAnchor>
    <xdr:from>
      <xdr:col>45</xdr:col>
      <xdr:colOff>523486</xdr:colOff>
      <xdr:row>24</xdr:row>
      <xdr:rowOff>96483</xdr:rowOff>
    </xdr:from>
    <xdr:to>
      <xdr:col>45</xdr:col>
      <xdr:colOff>1231474</xdr:colOff>
      <xdr:row>25</xdr:row>
      <xdr:rowOff>22939</xdr:rowOff>
    </xdr:to>
    <xdr:grpSp>
      <xdr:nvGrpSpPr>
        <xdr:cNvPr id="357" name="Group 356">
          <a:extLst>
            <a:ext uri="{FF2B5EF4-FFF2-40B4-BE49-F238E27FC236}">
              <a16:creationId xmlns:a16="http://schemas.microsoft.com/office/drawing/2014/main" id="{EADE2848-35ED-4BD0-8F9D-A0C703B7B18E}"/>
            </a:ext>
          </a:extLst>
        </xdr:cNvPr>
        <xdr:cNvGrpSpPr/>
      </xdr:nvGrpSpPr>
      <xdr:grpSpPr>
        <a:xfrm>
          <a:off x="34739744" y="6872548"/>
          <a:ext cx="707988" cy="401681"/>
          <a:chOff x="20305549" y="7042250"/>
          <a:chExt cx="707988" cy="397943"/>
        </a:xfrm>
      </xdr:grpSpPr>
      <xdr:cxnSp macro="">
        <xdr:nvCxnSpPr>
          <xdr:cNvPr id="358" name="Straight Connector 357">
            <a:extLst>
              <a:ext uri="{FF2B5EF4-FFF2-40B4-BE49-F238E27FC236}">
                <a16:creationId xmlns:a16="http://schemas.microsoft.com/office/drawing/2014/main" id="{90A4BC8E-8200-4E52-A5D2-1EC55EB7CFE0}"/>
              </a:ext>
            </a:extLst>
          </xdr:cNvPr>
          <xdr:cNvCxnSpPr/>
        </xdr:nvCxnSpPr>
        <xdr:spPr>
          <a:xfrm>
            <a:off x="20305549" y="7280375"/>
            <a:ext cx="707988" cy="282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9" name="Rectangle 358">
            <a:extLst>
              <a:ext uri="{FF2B5EF4-FFF2-40B4-BE49-F238E27FC236}">
                <a16:creationId xmlns:a16="http://schemas.microsoft.com/office/drawing/2014/main" id="{5D1A968D-622D-4FDD-B8A8-F645D98E5FD6}"/>
              </a:ext>
            </a:extLst>
          </xdr:cNvPr>
          <xdr:cNvSpPr/>
        </xdr:nvSpPr>
        <xdr:spPr>
          <a:xfrm flipH="1">
            <a:off x="20424610" y="7042250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1313</a:t>
            </a:r>
          </a:p>
        </xdr:txBody>
      </xdr:sp>
    </xdr:grpSp>
    <xdr:clientData/>
  </xdr:twoCellAnchor>
  <xdr:twoCellAnchor>
    <xdr:from>
      <xdr:col>45</xdr:col>
      <xdr:colOff>236375</xdr:colOff>
      <xdr:row>25</xdr:row>
      <xdr:rowOff>29808</xdr:rowOff>
    </xdr:from>
    <xdr:to>
      <xdr:col>45</xdr:col>
      <xdr:colOff>1571626</xdr:colOff>
      <xdr:row>26</xdr:row>
      <xdr:rowOff>100499</xdr:rowOff>
    </xdr:to>
    <xdr:grpSp>
      <xdr:nvGrpSpPr>
        <xdr:cNvPr id="361" name="Group 360">
          <a:extLst>
            <a:ext uri="{FF2B5EF4-FFF2-40B4-BE49-F238E27FC236}">
              <a16:creationId xmlns:a16="http://schemas.microsoft.com/office/drawing/2014/main" id="{96BA66F1-563C-4CFF-AF89-80D19DDBB667}"/>
            </a:ext>
          </a:extLst>
        </xdr:cNvPr>
        <xdr:cNvGrpSpPr/>
      </xdr:nvGrpSpPr>
      <xdr:grpSpPr>
        <a:xfrm>
          <a:off x="34452633" y="7281098"/>
          <a:ext cx="1335251" cy="545917"/>
          <a:chOff x="20026603" y="7497408"/>
          <a:chExt cx="1335251" cy="538777"/>
        </a:xfrm>
      </xdr:grpSpPr>
      <xdr:grpSp>
        <xdr:nvGrpSpPr>
          <xdr:cNvPr id="362" name="Group 361">
            <a:extLst>
              <a:ext uri="{FF2B5EF4-FFF2-40B4-BE49-F238E27FC236}">
                <a16:creationId xmlns:a16="http://schemas.microsoft.com/office/drawing/2014/main" id="{391DBF16-F233-4C2C-835E-083758EA6A3C}"/>
              </a:ext>
            </a:extLst>
          </xdr:cNvPr>
          <xdr:cNvGrpSpPr/>
        </xdr:nvGrpSpPr>
        <xdr:grpSpPr>
          <a:xfrm>
            <a:off x="20307591" y="7497408"/>
            <a:ext cx="707988" cy="394542"/>
            <a:chOff x="20310312" y="7432775"/>
            <a:chExt cx="707988" cy="397943"/>
          </a:xfrm>
        </xdr:grpSpPr>
        <xdr:grpSp>
          <xdr:nvGrpSpPr>
            <xdr:cNvPr id="365" name="Group 364">
              <a:extLst>
                <a:ext uri="{FF2B5EF4-FFF2-40B4-BE49-F238E27FC236}">
                  <a16:creationId xmlns:a16="http://schemas.microsoft.com/office/drawing/2014/main" id="{304DA1AB-47CD-4641-87C7-2A77CE8CBB13}"/>
                </a:ext>
              </a:extLst>
            </xdr:cNvPr>
            <xdr:cNvGrpSpPr/>
          </xdr:nvGrpSpPr>
          <xdr:grpSpPr>
            <a:xfrm>
              <a:off x="20310312" y="7432775"/>
              <a:ext cx="707988" cy="397943"/>
              <a:chOff x="20315074" y="7494688"/>
              <a:chExt cx="707988" cy="397943"/>
            </a:xfrm>
          </xdr:grpSpPr>
          <xdr:grpSp>
            <xdr:nvGrpSpPr>
              <xdr:cNvPr id="367" name="Group 366">
                <a:extLst>
                  <a:ext uri="{FF2B5EF4-FFF2-40B4-BE49-F238E27FC236}">
                    <a16:creationId xmlns:a16="http://schemas.microsoft.com/office/drawing/2014/main" id="{BC35A139-1DF9-4C4D-ADC7-A5BCBD84F144}"/>
                  </a:ext>
                </a:extLst>
              </xdr:cNvPr>
              <xdr:cNvGrpSpPr/>
            </xdr:nvGrpSpPr>
            <xdr:grpSpPr>
              <a:xfrm>
                <a:off x="20315074" y="7494688"/>
                <a:ext cx="707988" cy="397943"/>
                <a:chOff x="20305549" y="7047013"/>
                <a:chExt cx="707988" cy="397943"/>
              </a:xfrm>
            </xdr:grpSpPr>
            <xdr:cxnSp macro="">
              <xdr:nvCxnSpPr>
                <xdr:cNvPr id="369" name="Straight Connector 368">
                  <a:extLst>
                    <a:ext uri="{FF2B5EF4-FFF2-40B4-BE49-F238E27FC236}">
                      <a16:creationId xmlns:a16="http://schemas.microsoft.com/office/drawing/2014/main" id="{67F9149E-AD44-4527-9AC6-DB73203DE7FB}"/>
                    </a:ext>
                  </a:extLst>
                </xdr:cNvPr>
                <xdr:cNvCxnSpPr/>
              </xdr:nvCxnSpPr>
              <xdr:spPr>
                <a:xfrm>
                  <a:off x="20305549" y="7280375"/>
                  <a:ext cx="707988" cy="2820"/>
                </a:xfrm>
                <a:prstGeom prst="line">
                  <a:avLst/>
                </a:prstGeom>
                <a:ln w="1270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370" name="Rectangle 369">
                  <a:extLst>
                    <a:ext uri="{FF2B5EF4-FFF2-40B4-BE49-F238E27FC236}">
                      <a16:creationId xmlns:a16="http://schemas.microsoft.com/office/drawing/2014/main" id="{D9A12A8A-6A7B-4DE1-BD75-8F1CAE6E044C}"/>
                    </a:ext>
                  </a:extLst>
                </xdr:cNvPr>
                <xdr:cNvSpPr/>
              </xdr:nvSpPr>
              <xdr:spPr>
                <a:xfrm flipH="1">
                  <a:off x="20467473" y="7047013"/>
                  <a:ext cx="506577" cy="397943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US" sz="1200" b="1">
                      <a:solidFill>
                        <a:schemeClr val="tx1"/>
                      </a:solidFill>
                    </a:rPr>
                    <a:t>470</a:t>
                  </a:r>
                </a:p>
              </xdr:txBody>
            </xdr:sp>
          </xdr:grpSp>
          <xdr:cxnSp macro="">
            <xdr:nvCxnSpPr>
              <xdr:cNvPr id="368" name="Straight Connector 367">
                <a:extLst>
                  <a:ext uri="{FF2B5EF4-FFF2-40B4-BE49-F238E27FC236}">
                    <a16:creationId xmlns:a16="http://schemas.microsoft.com/office/drawing/2014/main" id="{44E15661-87A8-467B-A731-43663B613F4D}"/>
                  </a:ext>
                </a:extLst>
              </xdr:cNvPr>
              <xdr:cNvCxnSpPr/>
            </xdr:nvCxnSpPr>
            <xdr:spPr>
              <a:xfrm>
                <a:off x="21020876" y="7732812"/>
                <a:ext cx="799" cy="101501"/>
              </a:xfrm>
              <a:prstGeom prst="line">
                <a:avLst/>
              </a:prstGeom>
              <a:ln w="12700"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366" name="Straight Connector 365">
              <a:extLst>
                <a:ext uri="{FF2B5EF4-FFF2-40B4-BE49-F238E27FC236}">
                  <a16:creationId xmlns:a16="http://schemas.microsoft.com/office/drawing/2014/main" id="{87E0CB49-EA32-4E01-977D-1654A1771BEC}"/>
                </a:ext>
              </a:extLst>
            </xdr:cNvPr>
            <xdr:cNvCxnSpPr/>
          </xdr:nvCxnSpPr>
          <xdr:spPr>
            <a:xfrm>
              <a:off x="20315075" y="7670900"/>
              <a:ext cx="799" cy="10150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63" name="Rectangle 362">
            <a:extLst>
              <a:ext uri="{FF2B5EF4-FFF2-40B4-BE49-F238E27FC236}">
                <a16:creationId xmlns:a16="http://schemas.microsoft.com/office/drawing/2014/main" id="{FF86DCBB-D3EA-4C28-8764-DF7C0BCFE2A4}"/>
              </a:ext>
            </a:extLst>
          </xdr:cNvPr>
          <xdr:cNvSpPr/>
        </xdr:nvSpPr>
        <xdr:spPr>
          <a:xfrm flipH="1">
            <a:off x="20974341" y="7646407"/>
            <a:ext cx="387513" cy="3253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4" name="Rectangle 363">
            <a:extLst>
              <a:ext uri="{FF2B5EF4-FFF2-40B4-BE49-F238E27FC236}">
                <a16:creationId xmlns:a16="http://schemas.microsoft.com/office/drawing/2014/main" id="{E910D25E-233A-4D8D-9992-C4E4D3FADD3D}"/>
              </a:ext>
            </a:extLst>
          </xdr:cNvPr>
          <xdr:cNvSpPr/>
        </xdr:nvSpPr>
        <xdr:spPr>
          <a:xfrm flipH="1">
            <a:off x="20026603" y="7641644"/>
            <a:ext cx="428884" cy="3945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15</a:t>
            </a:r>
          </a:p>
        </xdr:txBody>
      </xdr:sp>
    </xdr:grpSp>
    <xdr:clientData/>
  </xdr:twoCellAnchor>
  <xdr:twoCellAnchor>
    <xdr:from>
      <xdr:col>45</xdr:col>
      <xdr:colOff>515321</xdr:colOff>
      <xdr:row>26</xdr:row>
      <xdr:rowOff>86958</xdr:rowOff>
    </xdr:from>
    <xdr:to>
      <xdr:col>45</xdr:col>
      <xdr:colOff>1223309</xdr:colOff>
      <xdr:row>27</xdr:row>
      <xdr:rowOff>16815</xdr:rowOff>
    </xdr:to>
    <xdr:grpSp>
      <xdr:nvGrpSpPr>
        <xdr:cNvPr id="371" name="Group 370">
          <a:extLst>
            <a:ext uri="{FF2B5EF4-FFF2-40B4-BE49-F238E27FC236}">
              <a16:creationId xmlns:a16="http://schemas.microsoft.com/office/drawing/2014/main" id="{2E5CFD5E-7A69-4E39-B093-6CBC352CBFB2}"/>
            </a:ext>
          </a:extLst>
        </xdr:cNvPr>
        <xdr:cNvGrpSpPr/>
      </xdr:nvGrpSpPr>
      <xdr:grpSpPr>
        <a:xfrm>
          <a:off x="34731579" y="7813474"/>
          <a:ext cx="707988" cy="405083"/>
          <a:chOff x="20305549" y="7042250"/>
          <a:chExt cx="707988" cy="397943"/>
        </a:xfrm>
      </xdr:grpSpPr>
      <xdr:cxnSp macro="">
        <xdr:nvCxnSpPr>
          <xdr:cNvPr id="372" name="Straight Connector 371">
            <a:extLst>
              <a:ext uri="{FF2B5EF4-FFF2-40B4-BE49-F238E27FC236}">
                <a16:creationId xmlns:a16="http://schemas.microsoft.com/office/drawing/2014/main" id="{A823AB60-ABDD-4518-913F-1579E4C0AF92}"/>
              </a:ext>
            </a:extLst>
          </xdr:cNvPr>
          <xdr:cNvCxnSpPr/>
        </xdr:nvCxnSpPr>
        <xdr:spPr>
          <a:xfrm>
            <a:off x="20305549" y="7280375"/>
            <a:ext cx="707988" cy="282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3" name="Rectangle 372">
            <a:extLst>
              <a:ext uri="{FF2B5EF4-FFF2-40B4-BE49-F238E27FC236}">
                <a16:creationId xmlns:a16="http://schemas.microsoft.com/office/drawing/2014/main" id="{3B7D1377-AB32-4397-BAF8-0671B4A6F9EB}"/>
              </a:ext>
            </a:extLst>
          </xdr:cNvPr>
          <xdr:cNvSpPr/>
        </xdr:nvSpPr>
        <xdr:spPr>
          <a:xfrm flipH="1">
            <a:off x="20424610" y="7042250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1302</a:t>
            </a:r>
          </a:p>
        </xdr:txBody>
      </xdr:sp>
    </xdr:grpSp>
    <xdr:clientData/>
  </xdr:twoCellAnchor>
  <xdr:twoCellAnchor>
    <xdr:from>
      <xdr:col>45</xdr:col>
      <xdr:colOff>522514</xdr:colOff>
      <xdr:row>27</xdr:row>
      <xdr:rowOff>108857</xdr:rowOff>
    </xdr:from>
    <xdr:to>
      <xdr:col>45</xdr:col>
      <xdr:colOff>1230502</xdr:colOff>
      <xdr:row>28</xdr:row>
      <xdr:rowOff>38715</xdr:rowOff>
    </xdr:to>
    <xdr:grpSp>
      <xdr:nvGrpSpPr>
        <xdr:cNvPr id="374" name="Group 373">
          <a:extLst>
            <a:ext uri="{FF2B5EF4-FFF2-40B4-BE49-F238E27FC236}">
              <a16:creationId xmlns:a16="http://schemas.microsoft.com/office/drawing/2014/main" id="{8F3CED81-F894-4D44-8DAC-04702EF386C2}"/>
            </a:ext>
          </a:extLst>
        </xdr:cNvPr>
        <xdr:cNvGrpSpPr/>
      </xdr:nvGrpSpPr>
      <xdr:grpSpPr>
        <a:xfrm>
          <a:off x="34738772" y="8310599"/>
          <a:ext cx="707988" cy="405084"/>
          <a:chOff x="20305549" y="7042250"/>
          <a:chExt cx="707988" cy="397943"/>
        </a:xfrm>
      </xdr:grpSpPr>
      <xdr:cxnSp macro="">
        <xdr:nvCxnSpPr>
          <xdr:cNvPr id="375" name="Straight Connector 374">
            <a:extLst>
              <a:ext uri="{FF2B5EF4-FFF2-40B4-BE49-F238E27FC236}">
                <a16:creationId xmlns:a16="http://schemas.microsoft.com/office/drawing/2014/main" id="{D613ABBA-3404-46E3-A393-D50AF98235E2}"/>
              </a:ext>
            </a:extLst>
          </xdr:cNvPr>
          <xdr:cNvCxnSpPr/>
        </xdr:nvCxnSpPr>
        <xdr:spPr>
          <a:xfrm>
            <a:off x="20305549" y="7280375"/>
            <a:ext cx="707988" cy="282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6" name="Rectangle 375">
            <a:extLst>
              <a:ext uri="{FF2B5EF4-FFF2-40B4-BE49-F238E27FC236}">
                <a16:creationId xmlns:a16="http://schemas.microsoft.com/office/drawing/2014/main" id="{CA700A37-D5FA-484C-85FC-4BDABFC6BB82}"/>
              </a:ext>
            </a:extLst>
          </xdr:cNvPr>
          <xdr:cNvSpPr/>
        </xdr:nvSpPr>
        <xdr:spPr>
          <a:xfrm flipH="1">
            <a:off x="20424610" y="7042250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1290</a:t>
            </a:r>
          </a:p>
        </xdr:txBody>
      </xdr:sp>
    </xdr:grpSp>
    <xdr:clientData/>
  </xdr:twoCellAnchor>
  <xdr:twoCellAnchor>
    <xdr:from>
      <xdr:col>45</xdr:col>
      <xdr:colOff>256856</xdr:colOff>
      <xdr:row>27</xdr:row>
      <xdr:rowOff>434728</xdr:rowOff>
    </xdr:from>
    <xdr:to>
      <xdr:col>45</xdr:col>
      <xdr:colOff>1711063</xdr:colOff>
      <xdr:row>29</xdr:row>
      <xdr:rowOff>134840</xdr:rowOff>
    </xdr:to>
    <xdr:grpSp>
      <xdr:nvGrpSpPr>
        <xdr:cNvPr id="377" name="Group 376">
          <a:extLst>
            <a:ext uri="{FF2B5EF4-FFF2-40B4-BE49-F238E27FC236}">
              <a16:creationId xmlns:a16="http://schemas.microsoft.com/office/drawing/2014/main" id="{83E7E2A9-0C59-4AC9-8673-B6F761F880DE}"/>
            </a:ext>
          </a:extLst>
        </xdr:cNvPr>
        <xdr:cNvGrpSpPr/>
      </xdr:nvGrpSpPr>
      <xdr:grpSpPr>
        <a:xfrm>
          <a:off x="34473114" y="8636470"/>
          <a:ext cx="1454207" cy="650564"/>
          <a:chOff x="20029324" y="8824176"/>
          <a:chExt cx="1457071" cy="646596"/>
        </a:xfrm>
      </xdr:grpSpPr>
      <xdr:grpSp>
        <xdr:nvGrpSpPr>
          <xdr:cNvPr id="378" name="Group 377">
            <a:extLst>
              <a:ext uri="{FF2B5EF4-FFF2-40B4-BE49-F238E27FC236}">
                <a16:creationId xmlns:a16="http://schemas.microsoft.com/office/drawing/2014/main" id="{F971AEC8-6951-4B09-971D-D578A41CBE90}"/>
              </a:ext>
            </a:extLst>
          </xdr:cNvPr>
          <xdr:cNvGrpSpPr/>
        </xdr:nvGrpSpPr>
        <xdr:grpSpPr>
          <a:xfrm>
            <a:off x="20311070" y="8965972"/>
            <a:ext cx="716353" cy="306944"/>
            <a:chOff x="20311070" y="8965972"/>
            <a:chExt cx="716353" cy="306944"/>
          </a:xfrm>
        </xdr:grpSpPr>
        <xdr:cxnSp macro="">
          <xdr:nvCxnSpPr>
            <xdr:cNvPr id="383" name="Straight Connector 382">
              <a:extLst>
                <a:ext uri="{FF2B5EF4-FFF2-40B4-BE49-F238E27FC236}">
                  <a16:creationId xmlns:a16="http://schemas.microsoft.com/office/drawing/2014/main" id="{1A433CD8-4377-4D4A-9137-F049255C319B}"/>
                </a:ext>
              </a:extLst>
            </xdr:cNvPr>
            <xdr:cNvCxnSpPr/>
          </xdr:nvCxnSpPr>
          <xdr:spPr>
            <a:xfrm>
              <a:off x="20314323" y="9270096"/>
              <a:ext cx="707988" cy="282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4" name="Straight Connector 383">
              <a:extLst>
                <a:ext uri="{FF2B5EF4-FFF2-40B4-BE49-F238E27FC236}">
                  <a16:creationId xmlns:a16="http://schemas.microsoft.com/office/drawing/2014/main" id="{1563F7E3-2E2B-4E88-8853-8345DCA1CF04}"/>
                </a:ext>
              </a:extLst>
            </xdr:cNvPr>
            <xdr:cNvCxnSpPr/>
          </xdr:nvCxnSpPr>
          <xdr:spPr>
            <a:xfrm>
              <a:off x="20312241" y="8973406"/>
              <a:ext cx="2881" cy="29341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5" name="Straight Connector 384">
              <a:extLst>
                <a:ext uri="{FF2B5EF4-FFF2-40B4-BE49-F238E27FC236}">
                  <a16:creationId xmlns:a16="http://schemas.microsoft.com/office/drawing/2014/main" id="{A6B0AEC3-1713-4342-AB87-C1C9E0A22421}"/>
                </a:ext>
              </a:extLst>
            </xdr:cNvPr>
            <xdr:cNvCxnSpPr/>
          </xdr:nvCxnSpPr>
          <xdr:spPr>
            <a:xfrm flipV="1">
              <a:off x="20311070" y="8965972"/>
              <a:ext cx="131268" cy="432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6" name="Straight Connector 385">
              <a:extLst>
                <a:ext uri="{FF2B5EF4-FFF2-40B4-BE49-F238E27FC236}">
                  <a16:creationId xmlns:a16="http://schemas.microsoft.com/office/drawing/2014/main" id="{DB7DEBD1-E607-44A1-8BC6-068B7CF66C61}"/>
                </a:ext>
              </a:extLst>
            </xdr:cNvPr>
            <xdr:cNvCxnSpPr/>
          </xdr:nvCxnSpPr>
          <xdr:spPr>
            <a:xfrm>
              <a:off x="20438622" y="8969689"/>
              <a:ext cx="2229" cy="276178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7" name="Straight Connector 386">
              <a:extLst>
                <a:ext uri="{FF2B5EF4-FFF2-40B4-BE49-F238E27FC236}">
                  <a16:creationId xmlns:a16="http://schemas.microsoft.com/office/drawing/2014/main" id="{FB8453C8-D2BA-425B-A560-5EA4F0035EB8}"/>
                </a:ext>
              </a:extLst>
            </xdr:cNvPr>
            <xdr:cNvCxnSpPr/>
          </xdr:nvCxnSpPr>
          <xdr:spPr>
            <a:xfrm>
              <a:off x="20337219" y="9145283"/>
              <a:ext cx="690204" cy="67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8" name="Straight Connector 387">
              <a:extLst>
                <a:ext uri="{FF2B5EF4-FFF2-40B4-BE49-F238E27FC236}">
                  <a16:creationId xmlns:a16="http://schemas.microsoft.com/office/drawing/2014/main" id="{DC018D95-47B0-4D2B-9478-0A2C4345F592}"/>
                </a:ext>
              </a:extLst>
            </xdr:cNvPr>
            <xdr:cNvCxnSpPr/>
          </xdr:nvCxnSpPr>
          <xdr:spPr>
            <a:xfrm flipV="1">
              <a:off x="21021774" y="9145283"/>
              <a:ext cx="1245" cy="124012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79" name="Rectangle 378">
            <a:extLst>
              <a:ext uri="{FF2B5EF4-FFF2-40B4-BE49-F238E27FC236}">
                <a16:creationId xmlns:a16="http://schemas.microsoft.com/office/drawing/2014/main" id="{FC7122B6-AEDC-4201-A7CF-AB1E10C04002}"/>
              </a:ext>
            </a:extLst>
          </xdr:cNvPr>
          <xdr:cNvSpPr/>
        </xdr:nvSpPr>
        <xdr:spPr>
          <a:xfrm flipH="1">
            <a:off x="20526629" y="8928450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60</a:t>
            </a:r>
          </a:p>
        </xdr:txBody>
      </xdr:sp>
      <xdr:sp macro="" textlink="">
        <xdr:nvSpPr>
          <xdr:cNvPr id="380" name="Rectangle 379">
            <a:extLst>
              <a:ext uri="{FF2B5EF4-FFF2-40B4-BE49-F238E27FC236}">
                <a16:creationId xmlns:a16="http://schemas.microsoft.com/office/drawing/2014/main" id="{1158BE42-28E6-4AF1-A2EE-FFFC4210D426}"/>
              </a:ext>
            </a:extLst>
          </xdr:cNvPr>
          <xdr:cNvSpPr/>
        </xdr:nvSpPr>
        <xdr:spPr>
          <a:xfrm flipH="1">
            <a:off x="20029324" y="9020692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60</a:t>
            </a:r>
          </a:p>
        </xdr:txBody>
      </xdr:sp>
      <xdr:sp macro="" textlink="">
        <xdr:nvSpPr>
          <xdr:cNvPr id="381" name="Rectangle 380">
            <a:extLst>
              <a:ext uri="{FF2B5EF4-FFF2-40B4-BE49-F238E27FC236}">
                <a16:creationId xmlns:a16="http://schemas.microsoft.com/office/drawing/2014/main" id="{DEEECD60-9FDE-41B4-8E76-0A96EA512D90}"/>
              </a:ext>
            </a:extLst>
          </xdr:cNvPr>
          <xdr:cNvSpPr/>
        </xdr:nvSpPr>
        <xdr:spPr>
          <a:xfrm flipH="1">
            <a:off x="20979818" y="9072829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22</a:t>
            </a:r>
          </a:p>
        </xdr:txBody>
      </xdr:sp>
      <xdr:sp macro="" textlink="">
        <xdr:nvSpPr>
          <xdr:cNvPr id="382" name="Rectangle 381">
            <a:extLst>
              <a:ext uri="{FF2B5EF4-FFF2-40B4-BE49-F238E27FC236}">
                <a16:creationId xmlns:a16="http://schemas.microsoft.com/office/drawing/2014/main" id="{648EC038-DFD9-443C-A77D-A625E2459470}"/>
              </a:ext>
            </a:extLst>
          </xdr:cNvPr>
          <xdr:cNvSpPr/>
        </xdr:nvSpPr>
        <xdr:spPr>
          <a:xfrm flipH="1">
            <a:off x="20029324" y="8824176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22</a:t>
            </a:r>
          </a:p>
        </xdr:txBody>
      </xdr:sp>
    </xdr:grpSp>
    <xdr:clientData/>
  </xdr:twoCellAnchor>
  <xdr:twoCellAnchor>
    <xdr:from>
      <xdr:col>45</xdr:col>
      <xdr:colOff>533400</xdr:colOff>
      <xdr:row>29</xdr:row>
      <xdr:rowOff>130629</xdr:rowOff>
    </xdr:from>
    <xdr:to>
      <xdr:col>45</xdr:col>
      <xdr:colOff>1241388</xdr:colOff>
      <xdr:row>30</xdr:row>
      <xdr:rowOff>60486</xdr:rowOff>
    </xdr:to>
    <xdr:grpSp>
      <xdr:nvGrpSpPr>
        <xdr:cNvPr id="392" name="Group 391">
          <a:extLst>
            <a:ext uri="{FF2B5EF4-FFF2-40B4-BE49-F238E27FC236}">
              <a16:creationId xmlns:a16="http://schemas.microsoft.com/office/drawing/2014/main" id="{F7155BAB-3C5E-4240-8873-EE37DC8FD895}"/>
            </a:ext>
          </a:extLst>
        </xdr:cNvPr>
        <xdr:cNvGrpSpPr/>
      </xdr:nvGrpSpPr>
      <xdr:grpSpPr>
        <a:xfrm>
          <a:off x="34749658" y="9282823"/>
          <a:ext cx="707988" cy="405082"/>
          <a:chOff x="20305549" y="7064022"/>
          <a:chExt cx="707988" cy="397943"/>
        </a:xfrm>
      </xdr:grpSpPr>
      <xdr:cxnSp macro="">
        <xdr:nvCxnSpPr>
          <xdr:cNvPr id="393" name="Straight Connector 392">
            <a:extLst>
              <a:ext uri="{FF2B5EF4-FFF2-40B4-BE49-F238E27FC236}">
                <a16:creationId xmlns:a16="http://schemas.microsoft.com/office/drawing/2014/main" id="{CDB3497C-FB4A-4C95-8C41-1DB716EE370C}"/>
              </a:ext>
            </a:extLst>
          </xdr:cNvPr>
          <xdr:cNvCxnSpPr/>
        </xdr:nvCxnSpPr>
        <xdr:spPr>
          <a:xfrm>
            <a:off x="20305549" y="7280375"/>
            <a:ext cx="707988" cy="282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4" name="Rectangle 393">
            <a:extLst>
              <a:ext uri="{FF2B5EF4-FFF2-40B4-BE49-F238E27FC236}">
                <a16:creationId xmlns:a16="http://schemas.microsoft.com/office/drawing/2014/main" id="{CE523049-C470-4EE1-95DA-7BCA14248FDA}"/>
              </a:ext>
            </a:extLst>
          </xdr:cNvPr>
          <xdr:cNvSpPr/>
        </xdr:nvSpPr>
        <xdr:spPr>
          <a:xfrm flipH="1">
            <a:off x="20391951" y="7064022"/>
            <a:ext cx="621168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901.8</a:t>
            </a:r>
          </a:p>
        </xdr:txBody>
      </xdr:sp>
    </xdr:grpSp>
    <xdr:clientData/>
  </xdr:twoCellAnchor>
  <xdr:twoCellAnchor>
    <xdr:from>
      <xdr:col>45</xdr:col>
      <xdr:colOff>365138</xdr:colOff>
      <xdr:row>29</xdr:row>
      <xdr:rowOff>456500</xdr:rowOff>
    </xdr:from>
    <xdr:to>
      <xdr:col>45</xdr:col>
      <xdr:colOff>1350973</xdr:colOff>
      <xdr:row>30</xdr:row>
      <xdr:rowOff>463502</xdr:rowOff>
    </xdr:to>
    <xdr:grpSp>
      <xdr:nvGrpSpPr>
        <xdr:cNvPr id="396" name="Group 395">
          <a:extLst>
            <a:ext uri="{FF2B5EF4-FFF2-40B4-BE49-F238E27FC236}">
              <a16:creationId xmlns:a16="http://schemas.microsoft.com/office/drawing/2014/main" id="{9481CB26-7013-4D79-BA31-43974257C69C}"/>
            </a:ext>
          </a:extLst>
        </xdr:cNvPr>
        <xdr:cNvGrpSpPr/>
      </xdr:nvGrpSpPr>
      <xdr:grpSpPr>
        <a:xfrm>
          <a:off x="34581396" y="9608694"/>
          <a:ext cx="985835" cy="482227"/>
          <a:chOff x="20137606" y="9770660"/>
          <a:chExt cx="985835" cy="480245"/>
        </a:xfrm>
      </xdr:grpSpPr>
      <xdr:grpSp>
        <xdr:nvGrpSpPr>
          <xdr:cNvPr id="397" name="Group 396">
            <a:extLst>
              <a:ext uri="{FF2B5EF4-FFF2-40B4-BE49-F238E27FC236}">
                <a16:creationId xmlns:a16="http://schemas.microsoft.com/office/drawing/2014/main" id="{019CA651-A31F-4465-AE1E-37C586345E58}"/>
              </a:ext>
            </a:extLst>
          </xdr:cNvPr>
          <xdr:cNvGrpSpPr/>
        </xdr:nvGrpSpPr>
        <xdr:grpSpPr>
          <a:xfrm>
            <a:off x="20419080" y="9974179"/>
            <a:ext cx="399239" cy="207486"/>
            <a:chOff x="20635648" y="9974179"/>
            <a:chExt cx="399239" cy="207486"/>
          </a:xfrm>
        </xdr:grpSpPr>
        <xdr:cxnSp macro="">
          <xdr:nvCxnSpPr>
            <xdr:cNvPr id="403" name="Straight Connector 402">
              <a:extLst>
                <a:ext uri="{FF2B5EF4-FFF2-40B4-BE49-F238E27FC236}">
                  <a16:creationId xmlns:a16="http://schemas.microsoft.com/office/drawing/2014/main" id="{BC2A0156-1A96-482C-8AA5-123A5F0C6162}"/>
                </a:ext>
              </a:extLst>
            </xdr:cNvPr>
            <xdr:cNvCxnSpPr/>
          </xdr:nvCxnSpPr>
          <xdr:spPr>
            <a:xfrm flipV="1">
              <a:off x="20635648" y="10178544"/>
              <a:ext cx="394433" cy="312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4" name="Straight Connector 403">
              <a:extLst>
                <a:ext uri="{FF2B5EF4-FFF2-40B4-BE49-F238E27FC236}">
                  <a16:creationId xmlns:a16="http://schemas.microsoft.com/office/drawing/2014/main" id="{744FFE81-066F-48FA-B5F5-B2CA769D53C5}"/>
                </a:ext>
              </a:extLst>
            </xdr:cNvPr>
            <xdr:cNvCxnSpPr/>
          </xdr:nvCxnSpPr>
          <xdr:spPr>
            <a:xfrm>
              <a:off x="21031200" y="9974179"/>
              <a:ext cx="2985" cy="20500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5" name="Straight Connector 404">
              <a:extLst>
                <a:ext uri="{FF2B5EF4-FFF2-40B4-BE49-F238E27FC236}">
                  <a16:creationId xmlns:a16="http://schemas.microsoft.com/office/drawing/2014/main" id="{04A9BA7C-2F5B-44A7-A5AA-7497C7DB46AB}"/>
                </a:ext>
              </a:extLst>
            </xdr:cNvPr>
            <xdr:cNvCxnSpPr/>
          </xdr:nvCxnSpPr>
          <xdr:spPr>
            <a:xfrm flipV="1">
              <a:off x="20903619" y="9979208"/>
              <a:ext cx="131268" cy="432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6" name="Straight Connector 405">
              <a:extLst>
                <a:ext uri="{FF2B5EF4-FFF2-40B4-BE49-F238E27FC236}">
                  <a16:creationId xmlns:a16="http://schemas.microsoft.com/office/drawing/2014/main" id="{A4E8342F-C27D-4B2E-9724-9A84FE234FA1}"/>
                </a:ext>
              </a:extLst>
            </xdr:cNvPr>
            <xdr:cNvCxnSpPr/>
          </xdr:nvCxnSpPr>
          <xdr:spPr>
            <a:xfrm flipV="1">
              <a:off x="20846716" y="9987230"/>
              <a:ext cx="55823" cy="39086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7" name="Straight Connector 406">
              <a:extLst>
                <a:ext uri="{FF2B5EF4-FFF2-40B4-BE49-F238E27FC236}">
                  <a16:creationId xmlns:a16="http://schemas.microsoft.com/office/drawing/2014/main" id="{811FCCBA-763D-467C-8A12-AE9B73309D87}"/>
                </a:ext>
              </a:extLst>
            </xdr:cNvPr>
            <xdr:cNvCxnSpPr/>
          </xdr:nvCxnSpPr>
          <xdr:spPr>
            <a:xfrm flipV="1">
              <a:off x="20646189" y="10027335"/>
              <a:ext cx="204213" cy="7002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98" name="Rectangle 397">
            <a:extLst>
              <a:ext uri="{FF2B5EF4-FFF2-40B4-BE49-F238E27FC236}">
                <a16:creationId xmlns:a16="http://schemas.microsoft.com/office/drawing/2014/main" id="{0E5F3A47-EDE7-4E97-8431-A6C52501D8CA}"/>
              </a:ext>
            </a:extLst>
          </xdr:cNvPr>
          <xdr:cNvSpPr/>
        </xdr:nvSpPr>
        <xdr:spPr>
          <a:xfrm flipH="1">
            <a:off x="20137606" y="9834829"/>
            <a:ext cx="364203" cy="255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35</a:t>
            </a:r>
          </a:p>
        </xdr:txBody>
      </xdr:sp>
      <xdr:sp macro="" textlink="">
        <xdr:nvSpPr>
          <xdr:cNvPr id="399" name="Rectangle 398">
            <a:extLst>
              <a:ext uri="{FF2B5EF4-FFF2-40B4-BE49-F238E27FC236}">
                <a16:creationId xmlns:a16="http://schemas.microsoft.com/office/drawing/2014/main" id="{4E55B30B-7B5A-440E-A991-3C9A0B56339C}"/>
              </a:ext>
            </a:extLst>
          </xdr:cNvPr>
          <xdr:cNvSpPr/>
        </xdr:nvSpPr>
        <xdr:spPr>
          <a:xfrm flipH="1">
            <a:off x="20594806" y="9770660"/>
            <a:ext cx="364203" cy="255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400" name="Rectangle 399">
            <a:extLst>
              <a:ext uri="{FF2B5EF4-FFF2-40B4-BE49-F238E27FC236}">
                <a16:creationId xmlns:a16="http://schemas.microsoft.com/office/drawing/2014/main" id="{67E10C0B-D779-4022-A80A-D6B73A6B96F3}"/>
              </a:ext>
            </a:extLst>
          </xdr:cNvPr>
          <xdr:cNvSpPr/>
        </xdr:nvSpPr>
        <xdr:spPr>
          <a:xfrm flipH="1">
            <a:off x="20759238" y="9935092"/>
            <a:ext cx="364203" cy="255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25</a:t>
            </a:r>
          </a:p>
        </xdr:txBody>
      </xdr:sp>
      <xdr:sp macro="" textlink="">
        <xdr:nvSpPr>
          <xdr:cNvPr id="401" name="Rectangle 400">
            <a:extLst>
              <a:ext uri="{FF2B5EF4-FFF2-40B4-BE49-F238E27FC236}">
                <a16:creationId xmlns:a16="http://schemas.microsoft.com/office/drawing/2014/main" id="{C180B992-F305-4FD3-9514-FE4355BA34A0}"/>
              </a:ext>
            </a:extLst>
          </xdr:cNvPr>
          <xdr:cNvSpPr/>
        </xdr:nvSpPr>
        <xdr:spPr>
          <a:xfrm flipH="1">
            <a:off x="20474490" y="9802744"/>
            <a:ext cx="364203" cy="255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402" name="Rectangle 401">
            <a:extLst>
              <a:ext uri="{FF2B5EF4-FFF2-40B4-BE49-F238E27FC236}">
                <a16:creationId xmlns:a16="http://schemas.microsoft.com/office/drawing/2014/main" id="{9E8A1A39-FE4C-4E13-A8E4-A01E7F417E21}"/>
              </a:ext>
            </a:extLst>
          </xdr:cNvPr>
          <xdr:cNvSpPr/>
        </xdr:nvSpPr>
        <xdr:spPr>
          <a:xfrm flipH="1">
            <a:off x="20137606" y="9995250"/>
            <a:ext cx="364203" cy="255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35</a:t>
            </a:r>
          </a:p>
        </xdr:txBody>
      </xdr:sp>
    </xdr:grpSp>
    <xdr:clientData/>
  </xdr:twoCellAnchor>
  <xdr:twoCellAnchor>
    <xdr:from>
      <xdr:col>45</xdr:col>
      <xdr:colOff>484024</xdr:colOff>
      <xdr:row>33</xdr:row>
      <xdr:rowOff>59063</xdr:rowOff>
    </xdr:from>
    <xdr:to>
      <xdr:col>45</xdr:col>
      <xdr:colOff>1192012</xdr:colOff>
      <xdr:row>33</xdr:row>
      <xdr:rowOff>457006</xdr:rowOff>
    </xdr:to>
    <xdr:grpSp>
      <xdr:nvGrpSpPr>
        <xdr:cNvPr id="408" name="Group 407">
          <a:extLst>
            <a:ext uri="{FF2B5EF4-FFF2-40B4-BE49-F238E27FC236}">
              <a16:creationId xmlns:a16="http://schemas.microsoft.com/office/drawing/2014/main" id="{612E5D6D-0649-4792-A4C9-0EFE21364A9B}"/>
            </a:ext>
          </a:extLst>
        </xdr:cNvPr>
        <xdr:cNvGrpSpPr/>
      </xdr:nvGrpSpPr>
      <xdr:grpSpPr>
        <a:xfrm>
          <a:off x="34700282" y="11112160"/>
          <a:ext cx="707988" cy="397943"/>
          <a:chOff x="20305549" y="7042250"/>
          <a:chExt cx="707988" cy="397943"/>
        </a:xfrm>
      </xdr:grpSpPr>
      <xdr:cxnSp macro="">
        <xdr:nvCxnSpPr>
          <xdr:cNvPr id="409" name="Straight Connector 408">
            <a:extLst>
              <a:ext uri="{FF2B5EF4-FFF2-40B4-BE49-F238E27FC236}">
                <a16:creationId xmlns:a16="http://schemas.microsoft.com/office/drawing/2014/main" id="{6E24DBEF-C0D5-413F-AEDE-188F1A6B444E}"/>
              </a:ext>
            </a:extLst>
          </xdr:cNvPr>
          <xdr:cNvCxnSpPr/>
        </xdr:nvCxnSpPr>
        <xdr:spPr>
          <a:xfrm>
            <a:off x="20305549" y="7280375"/>
            <a:ext cx="707988" cy="282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0" name="Rectangle 409">
            <a:extLst>
              <a:ext uri="{FF2B5EF4-FFF2-40B4-BE49-F238E27FC236}">
                <a16:creationId xmlns:a16="http://schemas.microsoft.com/office/drawing/2014/main" id="{4F7451A0-8DDA-425C-AB02-013BF30AB313}"/>
              </a:ext>
            </a:extLst>
          </xdr:cNvPr>
          <xdr:cNvSpPr/>
        </xdr:nvSpPr>
        <xdr:spPr>
          <a:xfrm flipH="1">
            <a:off x="20424610" y="7042250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1290</a:t>
            </a:r>
          </a:p>
        </xdr:txBody>
      </xdr:sp>
    </xdr:grpSp>
    <xdr:clientData/>
  </xdr:twoCellAnchor>
  <xdr:twoCellAnchor>
    <xdr:from>
      <xdr:col>45</xdr:col>
      <xdr:colOff>466726</xdr:colOff>
      <xdr:row>33</xdr:row>
      <xdr:rowOff>452283</xdr:rowOff>
    </xdr:from>
    <xdr:to>
      <xdr:col>45</xdr:col>
      <xdr:colOff>1637584</xdr:colOff>
      <xdr:row>35</xdr:row>
      <xdr:rowOff>181091</xdr:rowOff>
    </xdr:to>
    <xdr:grpSp>
      <xdr:nvGrpSpPr>
        <xdr:cNvPr id="411" name="Group 410">
          <a:extLst>
            <a:ext uri="{FF2B5EF4-FFF2-40B4-BE49-F238E27FC236}">
              <a16:creationId xmlns:a16="http://schemas.microsoft.com/office/drawing/2014/main" id="{25F90182-81B9-4BCB-96C3-84311CE15ABF}"/>
            </a:ext>
          </a:extLst>
        </xdr:cNvPr>
        <xdr:cNvGrpSpPr/>
      </xdr:nvGrpSpPr>
      <xdr:grpSpPr>
        <a:xfrm>
          <a:off x="34682984" y="11505380"/>
          <a:ext cx="1170858" cy="630098"/>
          <a:chOff x="20313231" y="8963053"/>
          <a:chExt cx="1173164" cy="507719"/>
        </a:xfrm>
      </xdr:grpSpPr>
      <xdr:grpSp>
        <xdr:nvGrpSpPr>
          <xdr:cNvPr id="412" name="Group 411">
            <a:extLst>
              <a:ext uri="{FF2B5EF4-FFF2-40B4-BE49-F238E27FC236}">
                <a16:creationId xmlns:a16="http://schemas.microsoft.com/office/drawing/2014/main" id="{67335620-6854-4200-A97E-9C287F6877AB}"/>
              </a:ext>
            </a:extLst>
          </xdr:cNvPr>
          <xdr:cNvGrpSpPr/>
        </xdr:nvGrpSpPr>
        <xdr:grpSpPr>
          <a:xfrm>
            <a:off x="20313231" y="9134880"/>
            <a:ext cx="714192" cy="138036"/>
            <a:chOff x="20313231" y="9134880"/>
            <a:chExt cx="714192" cy="138036"/>
          </a:xfrm>
        </xdr:grpSpPr>
        <xdr:cxnSp macro="">
          <xdr:nvCxnSpPr>
            <xdr:cNvPr id="417" name="Straight Connector 416">
              <a:extLst>
                <a:ext uri="{FF2B5EF4-FFF2-40B4-BE49-F238E27FC236}">
                  <a16:creationId xmlns:a16="http://schemas.microsoft.com/office/drawing/2014/main" id="{AC99E1AC-6954-479A-BC64-5416B0821369}"/>
                </a:ext>
              </a:extLst>
            </xdr:cNvPr>
            <xdr:cNvCxnSpPr/>
          </xdr:nvCxnSpPr>
          <xdr:spPr>
            <a:xfrm>
              <a:off x="20314323" y="9270096"/>
              <a:ext cx="707988" cy="282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18" name="Straight Connector 417">
              <a:extLst>
                <a:ext uri="{FF2B5EF4-FFF2-40B4-BE49-F238E27FC236}">
                  <a16:creationId xmlns:a16="http://schemas.microsoft.com/office/drawing/2014/main" id="{226E9EDE-9D8E-4322-97CC-2B9D0E751B46}"/>
                </a:ext>
              </a:extLst>
            </xdr:cNvPr>
            <xdr:cNvCxnSpPr/>
          </xdr:nvCxnSpPr>
          <xdr:spPr>
            <a:xfrm>
              <a:off x="20313231" y="9134880"/>
              <a:ext cx="1891" cy="131943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1" name="Straight Connector 420">
              <a:extLst>
                <a:ext uri="{FF2B5EF4-FFF2-40B4-BE49-F238E27FC236}">
                  <a16:creationId xmlns:a16="http://schemas.microsoft.com/office/drawing/2014/main" id="{576C11B9-08A9-4A4D-8D52-DB0156E7DFCC}"/>
                </a:ext>
              </a:extLst>
            </xdr:cNvPr>
            <xdr:cNvCxnSpPr/>
          </xdr:nvCxnSpPr>
          <xdr:spPr>
            <a:xfrm>
              <a:off x="20327545" y="9139676"/>
              <a:ext cx="699878" cy="6279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2" name="Straight Connector 421">
              <a:extLst>
                <a:ext uri="{FF2B5EF4-FFF2-40B4-BE49-F238E27FC236}">
                  <a16:creationId xmlns:a16="http://schemas.microsoft.com/office/drawing/2014/main" id="{EAAA5240-929D-4F2A-9EAD-A3F215B8E3C7}"/>
                </a:ext>
              </a:extLst>
            </xdr:cNvPr>
            <xdr:cNvCxnSpPr/>
          </xdr:nvCxnSpPr>
          <xdr:spPr>
            <a:xfrm flipV="1">
              <a:off x="21021774" y="9145283"/>
              <a:ext cx="1245" cy="124012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13" name="Rectangle 412">
            <a:extLst>
              <a:ext uri="{FF2B5EF4-FFF2-40B4-BE49-F238E27FC236}">
                <a16:creationId xmlns:a16="http://schemas.microsoft.com/office/drawing/2014/main" id="{AFD1D595-16C8-4D01-9380-8A6EE0B6245D}"/>
              </a:ext>
            </a:extLst>
          </xdr:cNvPr>
          <xdr:cNvSpPr/>
        </xdr:nvSpPr>
        <xdr:spPr>
          <a:xfrm flipH="1">
            <a:off x="20521858" y="8963053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70</a:t>
            </a:r>
          </a:p>
        </xdr:txBody>
      </xdr:sp>
      <xdr:sp macro="" textlink="">
        <xdr:nvSpPr>
          <xdr:cNvPr id="415" name="Rectangle 414">
            <a:extLst>
              <a:ext uri="{FF2B5EF4-FFF2-40B4-BE49-F238E27FC236}">
                <a16:creationId xmlns:a16="http://schemas.microsoft.com/office/drawing/2014/main" id="{A12AF013-485E-4B71-9DB9-E42AA5FBF811}"/>
              </a:ext>
            </a:extLst>
          </xdr:cNvPr>
          <xdr:cNvSpPr/>
        </xdr:nvSpPr>
        <xdr:spPr>
          <a:xfrm flipH="1">
            <a:off x="20979818" y="9072829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22</a:t>
            </a:r>
          </a:p>
        </xdr:txBody>
      </xdr:sp>
    </xdr:grpSp>
    <xdr:clientData/>
  </xdr:twoCellAnchor>
  <xdr:twoCellAnchor>
    <xdr:from>
      <xdr:col>45</xdr:col>
      <xdr:colOff>480116</xdr:colOff>
      <xdr:row>32</xdr:row>
      <xdr:rowOff>100745</xdr:rowOff>
    </xdr:from>
    <xdr:to>
      <xdr:col>45</xdr:col>
      <xdr:colOff>1188104</xdr:colOff>
      <xdr:row>33</xdr:row>
      <xdr:rowOff>23252</xdr:rowOff>
    </xdr:to>
    <xdr:grpSp>
      <xdr:nvGrpSpPr>
        <xdr:cNvPr id="425" name="Group 424">
          <a:extLst>
            <a:ext uri="{FF2B5EF4-FFF2-40B4-BE49-F238E27FC236}">
              <a16:creationId xmlns:a16="http://schemas.microsoft.com/office/drawing/2014/main" id="{8268E8EB-20E2-49C0-8D87-31FC595FBBB3}"/>
            </a:ext>
          </a:extLst>
        </xdr:cNvPr>
        <xdr:cNvGrpSpPr/>
      </xdr:nvGrpSpPr>
      <xdr:grpSpPr>
        <a:xfrm>
          <a:off x="34696374" y="10678616"/>
          <a:ext cx="707988" cy="397733"/>
          <a:chOff x="20305549" y="7042250"/>
          <a:chExt cx="707988" cy="397943"/>
        </a:xfrm>
      </xdr:grpSpPr>
      <xdr:cxnSp macro="">
        <xdr:nvCxnSpPr>
          <xdr:cNvPr id="426" name="Straight Connector 425">
            <a:extLst>
              <a:ext uri="{FF2B5EF4-FFF2-40B4-BE49-F238E27FC236}">
                <a16:creationId xmlns:a16="http://schemas.microsoft.com/office/drawing/2014/main" id="{F64D541C-C9E3-4218-BDB9-341A0F30B122}"/>
              </a:ext>
            </a:extLst>
          </xdr:cNvPr>
          <xdr:cNvCxnSpPr/>
        </xdr:nvCxnSpPr>
        <xdr:spPr>
          <a:xfrm>
            <a:off x="20305549" y="7280375"/>
            <a:ext cx="707988" cy="282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7" name="Rectangle 426">
            <a:extLst>
              <a:ext uri="{FF2B5EF4-FFF2-40B4-BE49-F238E27FC236}">
                <a16:creationId xmlns:a16="http://schemas.microsoft.com/office/drawing/2014/main" id="{197A05EF-7204-4A45-BA9E-89026F1A1417}"/>
              </a:ext>
            </a:extLst>
          </xdr:cNvPr>
          <xdr:cNvSpPr/>
        </xdr:nvSpPr>
        <xdr:spPr>
          <a:xfrm flipH="1">
            <a:off x="20424610" y="7042250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130</a:t>
            </a:r>
          </a:p>
        </xdr:txBody>
      </xdr:sp>
    </xdr:grpSp>
    <xdr:clientData/>
  </xdr:twoCellAnchor>
  <xdr:twoCellAnchor>
    <xdr:from>
      <xdr:col>45</xdr:col>
      <xdr:colOff>469696</xdr:colOff>
      <xdr:row>31</xdr:row>
      <xdr:rowOff>129401</xdr:rowOff>
    </xdr:from>
    <xdr:to>
      <xdr:col>45</xdr:col>
      <xdr:colOff>1177684</xdr:colOff>
      <xdr:row>32</xdr:row>
      <xdr:rowOff>51908</xdr:rowOff>
    </xdr:to>
    <xdr:grpSp>
      <xdr:nvGrpSpPr>
        <xdr:cNvPr id="428" name="Group 427">
          <a:extLst>
            <a:ext uri="{FF2B5EF4-FFF2-40B4-BE49-F238E27FC236}">
              <a16:creationId xmlns:a16="http://schemas.microsoft.com/office/drawing/2014/main" id="{D7EB5283-0D70-4126-8A49-7FCFF72243AA}"/>
            </a:ext>
          </a:extLst>
        </xdr:cNvPr>
        <xdr:cNvGrpSpPr/>
      </xdr:nvGrpSpPr>
      <xdr:grpSpPr>
        <a:xfrm>
          <a:off x="34685954" y="10232046"/>
          <a:ext cx="707988" cy="397733"/>
          <a:chOff x="20305549" y="7042250"/>
          <a:chExt cx="707988" cy="397943"/>
        </a:xfrm>
      </xdr:grpSpPr>
      <xdr:cxnSp macro="">
        <xdr:nvCxnSpPr>
          <xdr:cNvPr id="429" name="Straight Connector 428">
            <a:extLst>
              <a:ext uri="{FF2B5EF4-FFF2-40B4-BE49-F238E27FC236}">
                <a16:creationId xmlns:a16="http://schemas.microsoft.com/office/drawing/2014/main" id="{61655D15-E4D9-4607-80B1-609CB6F1DC2A}"/>
              </a:ext>
            </a:extLst>
          </xdr:cNvPr>
          <xdr:cNvCxnSpPr/>
        </xdr:nvCxnSpPr>
        <xdr:spPr>
          <a:xfrm>
            <a:off x="20305549" y="7280375"/>
            <a:ext cx="707988" cy="282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0" name="Rectangle 429">
            <a:extLst>
              <a:ext uri="{FF2B5EF4-FFF2-40B4-BE49-F238E27FC236}">
                <a16:creationId xmlns:a16="http://schemas.microsoft.com/office/drawing/2014/main" id="{639726BE-4349-4A86-AB30-10B74047F6E4}"/>
              </a:ext>
            </a:extLst>
          </xdr:cNvPr>
          <xdr:cNvSpPr/>
        </xdr:nvSpPr>
        <xdr:spPr>
          <a:xfrm flipH="1">
            <a:off x="20424610" y="7042250"/>
            <a:ext cx="506577" cy="39794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 b="1">
                <a:solidFill>
                  <a:schemeClr val="tx1"/>
                </a:solidFill>
              </a:rPr>
              <a:t>130</a:t>
            </a:r>
          </a:p>
        </xdr:txBody>
      </xdr:sp>
    </xdr:grpSp>
    <xdr:clientData/>
  </xdr:twoCellAnchor>
  <xdr:twoCellAnchor>
    <xdr:from>
      <xdr:col>45</xdr:col>
      <xdr:colOff>1185333</xdr:colOff>
      <xdr:row>32</xdr:row>
      <xdr:rowOff>182359</xdr:rowOff>
    </xdr:from>
    <xdr:to>
      <xdr:col>45</xdr:col>
      <xdr:colOff>1186576</xdr:colOff>
      <xdr:row>32</xdr:row>
      <xdr:rowOff>337237</xdr:rowOff>
    </xdr:to>
    <xdr:cxnSp macro="">
      <xdr:nvCxnSpPr>
        <xdr:cNvPr id="431" name="Straight Connector 430">
          <a:extLst>
            <a:ext uri="{FF2B5EF4-FFF2-40B4-BE49-F238E27FC236}">
              <a16:creationId xmlns:a16="http://schemas.microsoft.com/office/drawing/2014/main" id="{2E1BDC44-AB18-403A-89E5-098CD25309DA}"/>
            </a:ext>
          </a:extLst>
        </xdr:cNvPr>
        <xdr:cNvCxnSpPr/>
      </xdr:nvCxnSpPr>
      <xdr:spPr>
        <a:xfrm flipV="1">
          <a:off x="31984461" y="10948051"/>
          <a:ext cx="1243" cy="15487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1172308</xdr:colOff>
      <xdr:row>31</xdr:row>
      <xdr:rowOff>208410</xdr:rowOff>
    </xdr:from>
    <xdr:to>
      <xdr:col>45</xdr:col>
      <xdr:colOff>1173551</xdr:colOff>
      <xdr:row>31</xdr:row>
      <xdr:rowOff>363288</xdr:rowOff>
    </xdr:to>
    <xdr:cxnSp macro="">
      <xdr:nvCxnSpPr>
        <xdr:cNvPr id="432" name="Straight Connector 431">
          <a:extLst>
            <a:ext uri="{FF2B5EF4-FFF2-40B4-BE49-F238E27FC236}">
              <a16:creationId xmlns:a16="http://schemas.microsoft.com/office/drawing/2014/main" id="{BEFBE2CE-8C25-4BD4-8806-5DCF81837FBE}"/>
            </a:ext>
          </a:extLst>
        </xdr:cNvPr>
        <xdr:cNvCxnSpPr/>
      </xdr:nvCxnSpPr>
      <xdr:spPr>
        <a:xfrm flipV="1">
          <a:off x="31971436" y="10498666"/>
          <a:ext cx="1243" cy="15487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1137547</xdr:colOff>
      <xdr:row>32</xdr:row>
      <xdr:rowOff>113616</xdr:rowOff>
    </xdr:from>
    <xdr:to>
      <xdr:col>45</xdr:col>
      <xdr:colOff>1643128</xdr:colOff>
      <xdr:row>33</xdr:row>
      <xdr:rowOff>135171</xdr:rowOff>
    </xdr:to>
    <xdr:sp macro="" textlink="">
      <xdr:nvSpPr>
        <xdr:cNvPr id="433" name="Rectangle 432">
          <a:extLst>
            <a:ext uri="{FF2B5EF4-FFF2-40B4-BE49-F238E27FC236}">
              <a16:creationId xmlns:a16="http://schemas.microsoft.com/office/drawing/2014/main" id="{E6F47C0A-3909-4B79-8970-6D7EBCC17751}"/>
            </a:ext>
          </a:extLst>
        </xdr:cNvPr>
        <xdr:cNvSpPr/>
      </xdr:nvSpPr>
      <xdr:spPr>
        <a:xfrm flipH="1">
          <a:off x="31936675" y="10879308"/>
          <a:ext cx="505581" cy="4969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tx1"/>
              </a:solidFill>
            </a:rPr>
            <a:t>20</a:t>
          </a:r>
        </a:p>
      </xdr:txBody>
    </xdr:sp>
    <xdr:clientData/>
  </xdr:twoCellAnchor>
  <xdr:twoCellAnchor>
    <xdr:from>
      <xdr:col>45</xdr:col>
      <xdr:colOff>1126718</xdr:colOff>
      <xdr:row>31</xdr:row>
      <xdr:rowOff>130256</xdr:rowOff>
    </xdr:from>
    <xdr:to>
      <xdr:col>45</xdr:col>
      <xdr:colOff>1632299</xdr:colOff>
      <xdr:row>32</xdr:row>
      <xdr:rowOff>151811</xdr:rowOff>
    </xdr:to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A3C329C-E413-4A5B-8254-056B0AD9F817}"/>
            </a:ext>
          </a:extLst>
        </xdr:cNvPr>
        <xdr:cNvSpPr/>
      </xdr:nvSpPr>
      <xdr:spPr>
        <a:xfrm flipH="1">
          <a:off x="31925846" y="10420512"/>
          <a:ext cx="505581" cy="4969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tx1"/>
              </a:solidFill>
            </a:rPr>
            <a:t>20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39"/>
  <sheetViews>
    <sheetView tabSelected="1" zoomScale="93" zoomScaleNormal="93" workbookViewId="0">
      <selection activeCell="I4" sqref="I4"/>
    </sheetView>
  </sheetViews>
  <sheetFormatPr defaultRowHeight="13.8" x14ac:dyDescent="0.25"/>
  <cols>
    <col min="1" max="1" width="8.8984375" style="1"/>
    <col min="2" max="2" width="11.69921875" style="2" bestFit="1" customWidth="1"/>
    <col min="3" max="3" width="8.8984375" style="2"/>
    <col min="4" max="4" width="9.296875" style="2" bestFit="1" customWidth="1"/>
    <col min="5" max="5" width="8.8984375" style="2"/>
    <col min="6" max="6" width="9.69921875" style="2" bestFit="1" customWidth="1"/>
    <col min="7" max="10" width="8.8984375" style="2"/>
    <col min="11" max="11" width="7" style="2" customWidth="1"/>
    <col min="12" max="12" width="10.3984375" style="2" customWidth="1"/>
    <col min="13" max="13" width="8.8984375" style="2"/>
    <col min="14" max="14" width="10" style="2" bestFit="1" customWidth="1"/>
    <col min="15" max="15" width="15.296875" style="2" customWidth="1"/>
    <col min="16" max="16" width="15.09765625" style="2" customWidth="1"/>
    <col min="17" max="17" width="10.3984375" style="2" customWidth="1"/>
    <col min="18" max="18" width="10.19921875" style="2" customWidth="1"/>
    <col min="19" max="19" width="10.3984375" style="2" customWidth="1"/>
    <col min="20" max="24" width="8.8984375" style="1"/>
    <col min="25" max="30" width="9.09765625" style="1" customWidth="1"/>
    <col min="31" max="31" width="22.09765625" style="1" customWidth="1"/>
    <col min="32" max="32" width="9.09765625" style="1" customWidth="1"/>
    <col min="33" max="33" width="10.3984375" style="1" customWidth="1"/>
    <col min="34" max="34" width="12.796875" style="1" customWidth="1"/>
    <col min="35" max="35" width="9.09765625" style="1" customWidth="1"/>
    <col min="36" max="36" width="11.09765625" style="1" customWidth="1"/>
    <col min="37" max="40" width="9.09765625" style="1" customWidth="1"/>
    <col min="41" max="42" width="9.09765625" customWidth="1"/>
    <col min="44" max="44" width="9.09765625" customWidth="1"/>
    <col min="45" max="45" width="11.19921875" customWidth="1"/>
    <col min="46" max="46" width="25.59765625" customWidth="1"/>
    <col min="47" max="47" width="12.19921875" customWidth="1"/>
    <col min="48" max="48" width="9.796875" customWidth="1"/>
    <col min="49" max="49" width="11.09765625" customWidth="1"/>
    <col min="51" max="51" width="10.8984375" customWidth="1"/>
  </cols>
  <sheetData>
    <row r="1" spans="2:56" ht="14.4" thickBot="1" x14ac:dyDescent="0.3"/>
    <row r="2" spans="2:56" ht="69.599999999999994" thickBot="1" x14ac:dyDescent="0.3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6" t="s">
        <v>14</v>
      </c>
      <c r="R2" s="3" t="s">
        <v>15</v>
      </c>
      <c r="S2" s="4" t="s">
        <v>16</v>
      </c>
      <c r="T2" s="4" t="s">
        <v>17</v>
      </c>
      <c r="U2" s="6" t="s">
        <v>18</v>
      </c>
    </row>
    <row r="3" spans="2:56" ht="14.4" thickBot="1" x14ac:dyDescent="0.3">
      <c r="B3" s="7">
        <v>1</v>
      </c>
      <c r="C3" s="8">
        <v>0</v>
      </c>
      <c r="D3" s="9">
        <v>975</v>
      </c>
      <c r="E3" s="9">
        <v>2</v>
      </c>
      <c r="F3" s="9">
        <v>3</v>
      </c>
      <c r="G3" s="9">
        <v>15</v>
      </c>
      <c r="H3" s="9">
        <v>5.3</v>
      </c>
      <c r="I3" s="9">
        <v>5.3</v>
      </c>
      <c r="J3" s="9">
        <v>-1.05</v>
      </c>
      <c r="K3" s="10">
        <v>3</v>
      </c>
      <c r="L3" s="9">
        <v>44</v>
      </c>
      <c r="M3" s="9">
        <v>0.5</v>
      </c>
      <c r="N3" s="9">
        <v>45.95</v>
      </c>
      <c r="O3" s="9">
        <v>-0.5</v>
      </c>
      <c r="P3" s="11">
        <v>-2</v>
      </c>
      <c r="R3" s="12">
        <f>IF(AND(E3=1,F3=1),0.6,IF(AND(E3&gt;=2,F3=1),0.8,IF(F3=2,0.8,IF(F3=3,0.8,IF(AND(E3=1,F3=4),0.8,IF(AND(E3&gt;=2,F3=4),1,IF(AND(E3=1,F3=5),1,IF(AND(E3&gt;=2,F3=5),1.2,IF(AND(E3=1,F3=6),1.2,IF(AND(E3&gt;=2,F3=6),1.3,IF(AND(E3=1,F3=7),1.4,IF(AND(E3&gt;=2,F3=7),1.5,IF(F3=8,"Type",IF(F3=9,1.7,IF(F3=10,2,"NG")))))))))))))))</f>
        <v>0.8</v>
      </c>
      <c r="S3" s="13">
        <v>0.25</v>
      </c>
      <c r="T3" s="13">
        <f>IF(F3=1,0.25,IF(F3=2,0.25,IF(F3=3,0.3,IF(F3=4,0.4,IF(F3=5,0.45,IF(F3=6,0.5,IF(F3=7,0.55,IF(F3=8,0.6,IF(F3=9,0.6,IF(F3=10,0.6,"NG"))))))))))</f>
        <v>0.3</v>
      </c>
      <c r="U3" s="14">
        <v>0.3</v>
      </c>
      <c r="AA3" s="15" t="s">
        <v>19</v>
      </c>
      <c r="AB3" s="16" t="s">
        <v>20</v>
      </c>
      <c r="AC3" s="16" t="s">
        <v>21</v>
      </c>
      <c r="AD3" s="252" t="s">
        <v>22</v>
      </c>
      <c r="AE3" s="252"/>
      <c r="AF3" s="252"/>
      <c r="AG3" s="252"/>
      <c r="AH3" s="252"/>
      <c r="AI3" s="16" t="s">
        <v>13</v>
      </c>
      <c r="AJ3" s="16" t="s">
        <v>23</v>
      </c>
      <c r="AK3" s="16" t="s">
        <v>24</v>
      </c>
      <c r="AL3" s="16" t="s">
        <v>25</v>
      </c>
      <c r="AM3" s="17" t="s">
        <v>25</v>
      </c>
      <c r="AO3" s="1"/>
      <c r="AP3" s="1"/>
      <c r="AQ3" s="15" t="s">
        <v>19</v>
      </c>
      <c r="AR3" s="16" t="s">
        <v>20</v>
      </c>
      <c r="AS3" s="16" t="s">
        <v>21</v>
      </c>
      <c r="AT3" s="252" t="s">
        <v>22</v>
      </c>
      <c r="AU3" s="252"/>
      <c r="AV3" s="252"/>
      <c r="AW3" s="252"/>
      <c r="AX3" s="252"/>
      <c r="AY3" s="16" t="s">
        <v>13</v>
      </c>
      <c r="AZ3" s="16" t="s">
        <v>23</v>
      </c>
      <c r="BA3" s="16" t="s">
        <v>24</v>
      </c>
      <c r="BB3" s="16" t="s">
        <v>25</v>
      </c>
      <c r="BC3" s="17" t="s">
        <v>25</v>
      </c>
    </row>
    <row r="4" spans="2:56" x14ac:dyDescent="0.25">
      <c r="B4" s="3" t="s">
        <v>26</v>
      </c>
      <c r="C4" s="18" t="s">
        <v>27</v>
      </c>
      <c r="G4" s="2">
        <f>G3*PI()/180</f>
        <v>0.26179938779914941</v>
      </c>
      <c r="J4" s="19"/>
      <c r="K4" s="19"/>
      <c r="L4" s="20"/>
      <c r="Y4" s="21" t="s">
        <v>3</v>
      </c>
      <c r="Z4" s="22" t="str">
        <f>IF(E3=1,E3,"NG")</f>
        <v>NG</v>
      </c>
      <c r="AA4" s="23">
        <v>1</v>
      </c>
      <c r="AB4" s="21">
        <f>IF(AND(Z5=2,Z8=0.25),18,IF(AND(Z5=3,Z8=0.25),20,IF(AND(Z5=4,Z8=0.25),22,IF(AND(Z5=5,Z8=0.25),22,IF(AND(Z5=6,Z8=0.25),25,IF(AND(Z5=7,Z8=0.25),25,IF(AND(Z5=8,Z8=0.25),25)))))))</f>
        <v>20</v>
      </c>
      <c r="AC4" s="21">
        <f>IF(AND(Z5=2,Z8=0.25),ROUND(3.33*Z7,0),IF(AND(Z5=3,Z8=0.25),ROUND(3.57*Z7,0),IF(AND(Z5=4,Z8=0.25),ROUND(3.1*Z7,0),IF(AND(Z5=5,Z8=0.25),ROUND(3.57*Z7,0),IF(AND(Z5=6,Z8=0.25),ROUND(3.33*Z7,0),IF(AND(Z5=7,Z8=0.25),ROUND(3.85*Z7,0),IF(AND(Z5=8,Z8=0.25),ROUND(4*Z7,0),"NG")))))))</f>
        <v>39</v>
      </c>
      <c r="AD4" s="21">
        <f>IF(AND(Z5=2,Z8=0.25),22,IF(AND(Z5=3,Z8=0.25),27,IF(AND(Z5=4,Z8=0.25),27,IF(AND(Z5=5,Z8=0.25),27,IF(AND(Z5=6,Z8=0.25),30,IF(AND(Z5=7,Z8=0.25),30,IF(AND(Z5=8,Z8=0.25),30,0)))))))</f>
        <v>27</v>
      </c>
      <c r="AE4" s="21">
        <f>IF(AND(Z5=2,Z8=0.25),27+Z11,IF(AND(Z5=3,Z8=0.25),26+Z11,IF(AND(Z5=4,Z8=0.25),35+Z11,IF(AND(Z5=5,Z8=0.25),35+Z11,IF(AND(Z5=6,Z8=0.25),35+Z11,IF(AND(Z5=7,Z8=0.25),45+Z11,IF(AND(Z5=8,Z8=0.25),54+Z11,0)))))))</f>
        <v>27</v>
      </c>
      <c r="AF4" s="21">
        <f>IF(AND(Z5=2,Z8=0.25),20,IF(AND(Z5=3,Z8=0.25),27,IF(AND(Z5=4,Z8=0.25),42,IF(AND(Z5=5,Z8=0.25),49,IF(AND(Z5=6,Z8=0.25),57,IF(AND(Z5=7,Z8=0.25),64,IF(AND(Z5=8,Z8=0.25),71,0)))))))</f>
        <v>27</v>
      </c>
      <c r="AG4" s="21">
        <f>IF(AND(Z5=2,Z8=0.25),209+Z11,IF(AND(Z5=3,Z8=0.25),303+Z11,IF(AND(Z5=4,Z8=0.25),403+Z11,IF(AND(Z5=5,Z8=0.25),498+Z11,IF(AND(Z5=6,Z8=0.25),593+Z11,IF(AND(Z5=7,Z8=0.25),700+Z11,IF(AND(Z5=8,Z8=0.25),801+Z11,0)))))))</f>
        <v>304</v>
      </c>
      <c r="AH4" s="21">
        <f>IF(AND(Z5=2,Z8=0.25),22,IF(AND(Z5=3,Z8=0.25),27,IF(AND(Z5=4,Z8=0.25),27,IF(AND(Z5=5,Z8=0.25),27,IF(AND(Z5=6,Z8=0.25),30,IF(AND(Z5=7,Z8=0.25),30,IF(AND(Z5=8,Z8=0.25),30,0)))))))</f>
        <v>27</v>
      </c>
      <c r="AI4" s="21">
        <f>SUM(AD4:AH4)/100</f>
        <v>4.12</v>
      </c>
      <c r="AJ4" s="24">
        <f t="shared" ref="AJ4:AJ11" si="0">AC4*AI4</f>
        <v>160.68</v>
      </c>
      <c r="AK4" s="21">
        <f>IF(AB4=10,0.617,IF(AB4=12,0.888,IF(AB4=14,1.21,IF(AB4=16,1.58,IF(AB4=18,2,IF(AB4=20,2.47,IF(AB4=22,2.98,IF(AB4=25,3.85,"NG"))))))))</f>
        <v>2.4700000000000002</v>
      </c>
      <c r="AL4" s="24">
        <f>AJ4*AK4</f>
        <v>396.87960000000004</v>
      </c>
      <c r="AM4" s="25"/>
      <c r="AN4" s="1">
        <f>IF(AB4&lt;12,10,IF(AB4&lt;20,12,20))</f>
        <v>20</v>
      </c>
      <c r="AO4" s="21" t="s">
        <v>3</v>
      </c>
      <c r="AP4" s="25">
        <f>IF(E3&gt;1,E3,"NG")</f>
        <v>2</v>
      </c>
      <c r="AQ4" s="26">
        <v>1</v>
      </c>
      <c r="AR4" s="21">
        <f>IF(AND(AP5=2,AP8=0.25),18,IF(AND(AP5=3,AP8=0.25),20,IF(AND(AP5=4,AP8=0.25),22,IF(AND(AP5=5,AP8=0.25),22,IF(AND(AP5=6,AP8=0.25),25,IF(AND(AP5=7,AP8=0.25),25,IF(AND(AP5=8,AP8=0.25),25)))))))</f>
        <v>20</v>
      </c>
      <c r="AS4" s="21">
        <f>IF(AND(AP5=2,AP8=0.25),AP4*ROUND(3.33*AP7,0),IF(AND(AP5=3,AP8=0.25),AP4*ROUND(3.57*AP7,0),IF(AND(AP5=4,AP8=0.25),AP4*ROUND(3.1*AP7,0),IF(AND(AP5=5,AP8=0.25),AP4*ROUND(3.57*AP7,0),IF(AND(AP5=6,AP8=0.25),AP4*ROUND(3.33*AP7,0),IF(AND(AP5=7,AP8=0.25),AP4*ROUND(3.85*AP7,0),IF(AND(AP5=8,AP8=0.25),AP4*ROUND(4*AP7,0),"NG")))))))</f>
        <v>78</v>
      </c>
      <c r="AT4" s="21">
        <f>IF(AND(AP5=2,AP8=0.25),22,IF(AND(AP5=3,AP8=0.25),27,IF(AND(AP5=4,AP8=0.25),27,IF(AND(AP5=5,AP8=0.25),27,IF(AND(AP5=6,AP8=0.25),30,IF(AND(AP5=7,AP8=0.25),30,IF(AND(AP5=8,AP8=0.25),30,0)))))))</f>
        <v>27</v>
      </c>
      <c r="AU4" s="21">
        <f>IF(AND(AP5=2,AP8=0.25),27+AP11,IF(AND(AP5=3,AP8=0.25),26+AP11,IF(AND(AP5=4,AP8=0.25),35+AP11,IF(AND(AP5=5,AP8=0.25),35+AP11,IF(AND(AP5=6,AP8=0.25),35+AP11,IF(AND(AP5=7,AP8=0.25),45+AP11,IF(AND(AP5=8,AP8=0.25),54+AP11,0)))))))</f>
        <v>27</v>
      </c>
      <c r="AV4" s="21">
        <f>IF(AND(AP5=2,AP8=0.25),20,IF(AND(AP5=3,AP8=0.25),27,IF(AND(AP5=4,AP8=0.25),42,IF(AND(AP5=5,AP8=0.25),49,IF(AND(AP5=6,AP8=0.25),57,IF(AND(AP5=7,AP8=0.25),64,IF(AND(AP5=8,AP8=0.25),71,0)))))))</f>
        <v>27</v>
      </c>
      <c r="AW4" s="21">
        <f>IF(AND(AP5=2,AP8=0.25),209+AP11,IF(AND(AP5=3,AP8=0.25),303+AP11,IF(AND(AP5=4,AP8=0.25),403+AP11,IF(AND(AP5=5,AP8=0.25),498+AP11,IF(AND(AP5=6,AP8=0.25),593+AP11,IF(AND(AP5=7,AP8=0.25),700+AP11,IF(AND(AP5=8,AP8=0.25),801+AP11,0)))))))</f>
        <v>304</v>
      </c>
      <c r="AX4" s="21">
        <f>IF(AND(AP5=2,AP8=0.25),22,IF(AND(AP5=3,AP8=0.25),27,IF(AND(AP5=4,AP8=0.25),27,IF(AND(AP5=5,AP8=0.25),27,IF(AND(AP5=6,AP8=0.25),30,IF(AND(AP5=7,AP8=0.25),30,IF(AND(AP5=8,AP8=0.25),30,0)))))))</f>
        <v>27</v>
      </c>
      <c r="AY4" s="21">
        <f>SUM(AT4:AX4)/100</f>
        <v>4.12</v>
      </c>
      <c r="AZ4" s="24">
        <f>AS4*AY4</f>
        <v>321.36</v>
      </c>
      <c r="BA4" s="21">
        <f>IF(AR4=10,0.617,IF(AR4=12,0.888,IF(AR4=14,1.21,IF(AR4=16,1.58,IF(AR4=18,2,IF(AR4=20,2.47,IF(AR4=22,2.98,IF(AR4=25,3.85,"NG"))))))))</f>
        <v>2.4700000000000002</v>
      </c>
      <c r="BB4" s="24">
        <f t="shared" ref="BB4:BB10" si="1">AZ4*BA4</f>
        <v>793.75920000000008</v>
      </c>
      <c r="BC4" s="25"/>
      <c r="BD4" s="1">
        <f>IF(AR4&lt;12,10,IF(AR4&lt;20,12,20))</f>
        <v>20</v>
      </c>
    </row>
    <row r="5" spans="2:56" x14ac:dyDescent="0.25">
      <c r="B5" s="27" t="s">
        <v>28</v>
      </c>
      <c r="C5" s="28" t="s">
        <v>145</v>
      </c>
      <c r="J5"/>
      <c r="K5"/>
      <c r="L5"/>
      <c r="M5"/>
      <c r="N5"/>
      <c r="O5"/>
      <c r="P5"/>
      <c r="Q5"/>
      <c r="R5"/>
      <c r="Y5" s="21" t="s">
        <v>4</v>
      </c>
      <c r="Z5" s="22">
        <f>F3</f>
        <v>3</v>
      </c>
      <c r="AA5" s="23">
        <v>2</v>
      </c>
      <c r="AB5" s="21">
        <f>AB4</f>
        <v>20</v>
      </c>
      <c r="AC5" s="21">
        <f>AC4</f>
        <v>39</v>
      </c>
      <c r="AD5" s="21">
        <f>AH4</f>
        <v>27</v>
      </c>
      <c r="AE5" s="21">
        <f>AG4</f>
        <v>304</v>
      </c>
      <c r="AF5" s="21">
        <f>AF4</f>
        <v>27</v>
      </c>
      <c r="AG5" s="21">
        <f>AE4</f>
        <v>27</v>
      </c>
      <c r="AH5" s="21">
        <f>AD4</f>
        <v>27</v>
      </c>
      <c r="AI5" s="21">
        <f>SUM(AD5:AH5)/100</f>
        <v>4.12</v>
      </c>
      <c r="AJ5" s="24">
        <f t="shared" si="0"/>
        <v>160.68</v>
      </c>
      <c r="AK5" s="21">
        <f t="shared" ref="AK5:AK12" si="2">IF(AB5=10,0.617,IF(AB5=12,0.888,IF(AB5=14,1.21,IF(AB5=16,1.58,IF(AB5=18,2,IF(AB5=20,2.47,IF(AB5=22,2.98,IF(AB5=25,3.85,"NG"))))))))</f>
        <v>2.4700000000000002</v>
      </c>
      <c r="AL5" s="24">
        <f>AJ5*AK5</f>
        <v>396.87960000000004</v>
      </c>
      <c r="AM5" s="25"/>
      <c r="AN5" s="1">
        <f t="shared" ref="AN5:AN12" si="3">IF(AB5&lt;12,10,IF(AB5&lt;20,12,20))</f>
        <v>20</v>
      </c>
      <c r="AO5" s="21" t="s">
        <v>4</v>
      </c>
      <c r="AP5" s="25">
        <f>F3</f>
        <v>3</v>
      </c>
      <c r="AQ5" s="26">
        <v>2</v>
      </c>
      <c r="AR5" s="21">
        <f>AR4</f>
        <v>20</v>
      </c>
      <c r="AS5" s="21">
        <f>AS4</f>
        <v>78</v>
      </c>
      <c r="AT5" s="21">
        <f>AX4</f>
        <v>27</v>
      </c>
      <c r="AU5" s="21">
        <f>AW4</f>
        <v>304</v>
      </c>
      <c r="AV5" s="21">
        <f>AV4</f>
        <v>27</v>
      </c>
      <c r="AW5" s="21">
        <f>AU4</f>
        <v>27</v>
      </c>
      <c r="AX5" s="21">
        <f>AT4</f>
        <v>27</v>
      </c>
      <c r="AY5" s="21">
        <f>SUM(AT5:AX5)/100</f>
        <v>4.12</v>
      </c>
      <c r="AZ5" s="24">
        <f t="shared" ref="AZ5:AZ11" si="4">AS5*AY5</f>
        <v>321.36</v>
      </c>
      <c r="BA5" s="21">
        <f t="shared" ref="BA5:BA11" si="5">IF(AR5=10,0.617,IF(AR5=12,0.888,IF(AR5=14,1.21,IF(AR5=16,1.58,IF(AR5=18,2,IF(AR5=20,2.47,IF(AR5=22,2.98,IF(AR5=25,3.85,"NG"))))))))</f>
        <v>2.4700000000000002</v>
      </c>
      <c r="BB5" s="24">
        <f t="shared" si="1"/>
        <v>793.75920000000008</v>
      </c>
      <c r="BC5" s="25"/>
      <c r="BD5" s="1">
        <f t="shared" ref="BD5:BD16" si="6">IF(AR5&lt;12,10,IF(AR5&lt;20,12,20))</f>
        <v>20</v>
      </c>
    </row>
    <row r="6" spans="2:56" ht="14.4" thickBot="1" x14ac:dyDescent="0.3">
      <c r="B6" s="12" t="s">
        <v>29</v>
      </c>
      <c r="C6" s="14">
        <f>IF(N3-(L3-M3)&lt;=4,1/3,1/2)</f>
        <v>0.33333333333333331</v>
      </c>
      <c r="E6"/>
      <c r="F6"/>
      <c r="G6"/>
      <c r="H6"/>
      <c r="I6"/>
      <c r="J6"/>
      <c r="K6"/>
      <c r="L6"/>
      <c r="M6"/>
      <c r="N6"/>
      <c r="O6"/>
      <c r="P6"/>
      <c r="Q6"/>
      <c r="Y6" s="21" t="s">
        <v>5</v>
      </c>
      <c r="Z6" s="22">
        <f>G4</f>
        <v>0.26179938779914941</v>
      </c>
      <c r="AA6" s="23">
        <v>3</v>
      </c>
      <c r="AB6" s="21">
        <f>IF(AND(Z5=2,Z8=0.25),14,IF(AND(Z5=3,Z8=0.25),14,IF(AND(Z5=4,Z8=0.25),14,IF(AND(Z5=5,Z8=0.25),14,IF(AND(Z5=6,Z8=0.25),14,IF(AND(Z5=7,Z8=0.25),14,IF(AND(Z5=8,Z8=0.25),14)))))))</f>
        <v>14</v>
      </c>
      <c r="AC6" s="21">
        <f>IF(AND(Z5=2,Z8=0.25),11,IF(AND(Z5=3,Z8=0.25),17,IF(AND(Z5=4,Z8=0.25),21,IF(AND(Z5=5,Z8=0.25),25,IF(AND(Z5=6,Z8=0.25),34,IF(AND(Z5=7,Z8=0.25),41,IF(AND(Z5=8,Z8=0.25),47,"NG")))))))</f>
        <v>17</v>
      </c>
      <c r="AD6" s="250">
        <f>IF(Z7*100&gt;1200,(56*AB6/10)+Z7*100,Z7*100)</f>
        <v>1097.3927512346879</v>
      </c>
      <c r="AE6" s="250"/>
      <c r="AF6" s="250"/>
      <c r="AG6" s="250"/>
      <c r="AH6" s="250"/>
      <c r="AI6" s="29">
        <f>AD6/100</f>
        <v>10.973927512346879</v>
      </c>
      <c r="AJ6" s="24">
        <f t="shared" si="0"/>
        <v>186.55676770989695</v>
      </c>
      <c r="AK6" s="21">
        <f t="shared" si="2"/>
        <v>1.21</v>
      </c>
      <c r="AL6" s="24">
        <f t="shared" ref="AL6:AL9" si="7">AJ6*AK6</f>
        <v>225.73368892897528</v>
      </c>
      <c r="AM6" s="25"/>
      <c r="AN6" s="1">
        <f t="shared" si="3"/>
        <v>12</v>
      </c>
      <c r="AO6" s="21" t="s">
        <v>5</v>
      </c>
      <c r="AP6" s="25">
        <f>G4</f>
        <v>0.26179938779914941</v>
      </c>
      <c r="AQ6" s="26">
        <v>3</v>
      </c>
      <c r="AR6" s="21">
        <f>IF(AND(AP5=2,AP8=0.25),14,IF(AND(AP5=3,AP8=0.25),14,IF(AND(AP5=4,AP8=0.25),14,IF(AND(AP5=5,AP8=0.25),14,IF(AND(AP5=6,AP8=0.25),14,IF(AND(AP5=7,AP8=0.25),14,IF(AND(AP5=8,AP8=0.25),14)))))))</f>
        <v>14</v>
      </c>
      <c r="AS6" s="21">
        <f>IF(AND(AP5=2,AP8=0.25),AP4*11,IF(AND(AP5=3,AP8=0.25),AP4*17,IF(AND(AP5=4,AP8=0.25),AP4*21,IF(AND(AP5=5,AP8=0.25),AP4*25,IF(AND(AP5=6,AP8=0.25),AP4*34,IF(AND(AP5=7,AP8=0.25),AP4*41,IF(AND(AP5=8,AP8=0.25),AP4*47,"NG")))))))</f>
        <v>34</v>
      </c>
      <c r="AT6" s="250">
        <f>IF(AP7*100&gt;1200,(56*AR6/10)+AP7*100,AP7*100)</f>
        <v>1097.3927512346879</v>
      </c>
      <c r="AU6" s="250"/>
      <c r="AV6" s="250"/>
      <c r="AW6" s="250"/>
      <c r="AX6" s="250"/>
      <c r="AY6" s="29">
        <f>AT6/100</f>
        <v>10.973927512346879</v>
      </c>
      <c r="AZ6" s="24">
        <f t="shared" si="4"/>
        <v>373.11353541979389</v>
      </c>
      <c r="BA6" s="21">
        <f t="shared" si="5"/>
        <v>1.21</v>
      </c>
      <c r="BB6" s="24">
        <f t="shared" si="1"/>
        <v>451.46737785795057</v>
      </c>
      <c r="BC6" s="25"/>
      <c r="BD6" s="1">
        <f t="shared" si="6"/>
        <v>12</v>
      </c>
    </row>
    <row r="7" spans="2:56" x14ac:dyDescent="0.25">
      <c r="G7" s="2" t="s">
        <v>30</v>
      </c>
      <c r="Y7" s="21" t="s">
        <v>13</v>
      </c>
      <c r="Z7" s="30">
        <f>F18+H18</f>
        <v>10.973927512346879</v>
      </c>
      <c r="AA7" s="23">
        <v>4</v>
      </c>
      <c r="AB7" s="21">
        <f>IF(AND(Z5=2,Z8=0.25),10,IF(AND(Z5=3,Z8=0.25),10,IF(AND(Z5=4,Z8=0.25),12,IF(AND(Z5=5,Z8=0.25),12,IF(AND(Z5=6,Z8=0.25),12,IF(AND(Z5=7,Z8=0.25),12,IF(AND(Z5=8,Z8=0.25),14)))))))</f>
        <v>10</v>
      </c>
      <c r="AC7" s="21">
        <f>AC4</f>
        <v>39</v>
      </c>
      <c r="AD7" s="21">
        <f>IF(AND(Z5=2,Z8=0.25),15,IF(AND(Z5=3,Z8=0.25),15,IF(AND(Z5=4,Z8=0.25),15,IF(AND(Z5=5,Z8=0.25),15,IF(AND(Z5=6,Z8=0.25),15,IF(AND(Z5=7,Z8=0.25),15,IF(AND(Z5=8,Z8=0.25),17,0)))))))</f>
        <v>15</v>
      </c>
      <c r="AE7" s="226">
        <f>IF(AND(Z5=2,Z8=0.25),250,IF(AND(Z5=3,Z8=0.25),350,IF(AND(Z5=4,Z8=0.25),470,IF(AND(Z5=5,Z8=0.25),570,IF(AND(Z5=6,Z8=0.25),670,IF(AND(Z5=7,Z8=0.25),790,IF(AND(Z5=8,Z8=0.25),910,0)))))))</f>
        <v>350</v>
      </c>
      <c r="AF7" s="226"/>
      <c r="AG7" s="226"/>
      <c r="AH7" s="21">
        <f>IF(AND(Z5=2,Z8=0.25),15,IF(AND(Z5=3,Z8=0.25),15,IF(AND(Z5=4,Z8=0.25),15,IF(AND(Z5=5,Z8=0.25),15,IF(AND(Z5=6,Z8=0.25),15,IF(AND(Z5=7,Z8=0.25),15,IF(AND(Z5=8,Z8=0.25),17,0)))))))</f>
        <v>15</v>
      </c>
      <c r="AI7" s="21">
        <f>SUM(AD7:AH7)/100</f>
        <v>3.8</v>
      </c>
      <c r="AJ7" s="21">
        <f t="shared" si="0"/>
        <v>148.19999999999999</v>
      </c>
      <c r="AK7" s="21">
        <f t="shared" si="2"/>
        <v>0.61699999999999999</v>
      </c>
      <c r="AL7" s="24">
        <f t="shared" si="7"/>
        <v>91.439399999999992</v>
      </c>
      <c r="AM7" s="25"/>
      <c r="AN7" s="1">
        <f t="shared" si="3"/>
        <v>10</v>
      </c>
      <c r="AO7" s="21" t="s">
        <v>13</v>
      </c>
      <c r="AP7" s="31">
        <f>F18+H18</f>
        <v>10.973927512346879</v>
      </c>
      <c r="AQ7" s="26">
        <v>4</v>
      </c>
      <c r="AR7" s="21">
        <f>IF(AND(AP5=2,AP8=0.25),10,IF(AND(AP5=3,AP8=0.25),10,IF(AND(AP5=4,AP8=0.25),12,IF(AND(AP5=5,AP8=0.25),12,IF(AND(AP5=6,AP8=0.25),12,IF(AND(AP5=7,AP8=0.25),12,IF(AND(AP5=8,AP8=0.25),14)))))))</f>
        <v>10</v>
      </c>
      <c r="AS7" s="21">
        <f>AS4</f>
        <v>78</v>
      </c>
      <c r="AT7" s="21">
        <f>IF(AND(AP5=2,AP8=0.25),15,IF(AND(AP5=3,AP8=0.25),15,IF(AND(AP5=4,AP8=0.25),15,IF(AND(AP5=5,AP8=0.25),15,IF(AND(AP5=6,AP8=0.25),15,IF(AND(AP5=7,AP8=0.25),15,IF(AND(AP5=8,AP8=0.25),17,0)))))))</f>
        <v>15</v>
      </c>
      <c r="AU7" s="226">
        <f>IF(AND(AP5=2,AP8=0.25),250,IF(AND(AP5=3,AP8=0.25),350,IF(AND(AP5=4,AP8=0.25),470,IF(AND(AP5=5,AP8=0.25),570,IF(AND(AP5=6,AP8=0.25),670,IF(AND(AP5=7,AP8=0.25),790,IF(AND(AP5=8,AP8=0.25),910,0)))))))</f>
        <v>350</v>
      </c>
      <c r="AV7" s="226"/>
      <c r="AW7" s="226"/>
      <c r="AX7" s="21">
        <f>IF(AND(AP5=2,AP8=0.25),15,IF(AND(AP5=3,AP8=0.25),15,IF(AND(AP5=4,AP8=0.25),15,IF(AND(AP5=5,AP8=0.25),15,IF(AND(AP5=6,AP8=0.25),15,IF(AND(AP5=7,AP8=0.25),15,IF(AND(AP5=8,AP8=0.25),17,0)))))))</f>
        <v>15</v>
      </c>
      <c r="AY7" s="21">
        <f>SUM(AT7:AX7)/100</f>
        <v>3.8</v>
      </c>
      <c r="AZ7" s="21">
        <f t="shared" si="4"/>
        <v>296.39999999999998</v>
      </c>
      <c r="BA7" s="21">
        <f t="shared" si="5"/>
        <v>0.61699999999999999</v>
      </c>
      <c r="BB7" s="24">
        <f t="shared" si="1"/>
        <v>182.87879999999998</v>
      </c>
      <c r="BC7" s="25"/>
      <c r="BD7" s="1">
        <f t="shared" si="6"/>
        <v>10</v>
      </c>
    </row>
    <row r="8" spans="2:56" x14ac:dyDescent="0.25">
      <c r="D8" s="32">
        <f>IF(C4="more",D3-H3*TAN(G4),D3+H3*TAN(G4))</f>
        <v>973.57986928011508</v>
      </c>
      <c r="F8" s="2" t="s">
        <v>31</v>
      </c>
      <c r="G8" s="33">
        <f>N3</f>
        <v>45.95</v>
      </c>
      <c r="H8" s="2" t="s">
        <v>31</v>
      </c>
      <c r="J8" s="32">
        <f>IF(C4="more",D3+I3*TAN(G4),D3-I3*TAN(G4))</f>
        <v>976.42013071988492</v>
      </c>
      <c r="L8" s="34"/>
      <c r="M8" s="35" t="s">
        <v>32</v>
      </c>
      <c r="N8" s="35" t="s">
        <v>33</v>
      </c>
      <c r="O8" s="35"/>
      <c r="Y8" s="21" t="s">
        <v>16</v>
      </c>
      <c r="Z8" s="22">
        <f>S3</f>
        <v>0.25</v>
      </c>
      <c r="AA8" s="23">
        <v>5</v>
      </c>
      <c r="AB8" s="21">
        <f>IF(AND(Z5=2,Z8=0.25),10,IF(AND(Z5=3,Z8=0.25),10,IF(AND(Z5=4,Z8=0.25),12,IF(AND(Z5=5,Z8=0.25),12,IF(AND(Z5=6,Z8=0.25),12,IF(AND(Z5=7,Z8=0.25),12,IF(AND(Z5=8,Z8=0.25),14)))))))</f>
        <v>10</v>
      </c>
      <c r="AC8" s="21">
        <f>IF(AND(Z5=2,Z8=0.25),8,IF(AND(Z5=3,Z8=0.25),14,IF(AND(Z5=4,Z8=0.25),17,IF(AND(Z5=5,Z8=0.25),21,IF(AND(Z5=6,Z8=0.25),27,IF(AND(Z5=7,Z8=0.25),37,IF(AND(Z5=8,Z8=0.25),36,"NG")))))))</f>
        <v>14</v>
      </c>
      <c r="AD8" s="250">
        <f>IF(Z7*100&gt;1200,(56*AB8/10)+Z7*100,Z7*100)</f>
        <v>1097.3927512346879</v>
      </c>
      <c r="AE8" s="250"/>
      <c r="AF8" s="250"/>
      <c r="AG8" s="250"/>
      <c r="AH8" s="250"/>
      <c r="AI8" s="29">
        <f>AD8/100</f>
        <v>10.973927512346879</v>
      </c>
      <c r="AJ8" s="24">
        <f t="shared" si="0"/>
        <v>153.63498517285632</v>
      </c>
      <c r="AK8" s="21">
        <f t="shared" si="2"/>
        <v>0.61699999999999999</v>
      </c>
      <c r="AL8" s="24">
        <f t="shared" si="7"/>
        <v>94.79278585165234</v>
      </c>
      <c r="AM8" s="25"/>
      <c r="AN8" s="1">
        <f t="shared" si="3"/>
        <v>10</v>
      </c>
      <c r="AO8" s="21" t="s">
        <v>16</v>
      </c>
      <c r="AP8" s="25">
        <f>S3</f>
        <v>0.25</v>
      </c>
      <c r="AQ8" s="26">
        <v>5</v>
      </c>
      <c r="AR8" s="21">
        <f>IF(AND(AP5=2,AP8=0.25),10,IF(AND(AP5=3,AP8=0.25),10,IF(AND(AP5=4,AP8=0.25),12,IF(AND(AP5=5,AP8=0.25),12,IF(AND(AP5=6,AP8=0.25),12,IF(AND(AP5=7,AP8=0.25),12,IF(AND(AP5=8,AP8=0.25),14)))))))</f>
        <v>10</v>
      </c>
      <c r="AS8" s="21">
        <f>IF(AND(AP5=2,AP8=0.25),AP4*8,IF(AND(AP5=3,AP8=0.25),AP4*14,IF(AND(AP5=4,AP8=0.25),AP4*17,IF(AND(AP5=5,AP8=0.25),AP4*21,IF(AND(AP5=6,AP8=0.25),AP4*27,IF(AND(AP5=7,AP8=0.25),AP4*37,IF(AND(AP5=8,AP8=0.25),AP4*36,"NG")))))))</f>
        <v>28</v>
      </c>
      <c r="AT8" s="250">
        <f>IF(AP7*100&gt;1200,(56*AR8/10)+AP7*100,AP7*100)</f>
        <v>1097.3927512346879</v>
      </c>
      <c r="AU8" s="250"/>
      <c r="AV8" s="250"/>
      <c r="AW8" s="250"/>
      <c r="AX8" s="250"/>
      <c r="AY8" s="29">
        <f>AT8/100</f>
        <v>10.973927512346879</v>
      </c>
      <c r="AZ8" s="24">
        <f t="shared" si="4"/>
        <v>307.26997034571264</v>
      </c>
      <c r="BA8" s="21">
        <f t="shared" si="5"/>
        <v>0.61699999999999999</v>
      </c>
      <c r="BB8" s="24">
        <f t="shared" si="1"/>
        <v>189.58557170330468</v>
      </c>
      <c r="BC8" s="25"/>
      <c r="BD8" s="1">
        <f t="shared" si="6"/>
        <v>10</v>
      </c>
    </row>
    <row r="9" spans="2:56" x14ac:dyDescent="0.25">
      <c r="D9" s="36">
        <f>N3+(D8-D3)*(J3/100)</f>
        <v>45.964911372558795</v>
      </c>
      <c r="E9" s="36">
        <f>D9+F9/100*H3</f>
        <v>45.938411372558797</v>
      </c>
      <c r="F9" s="33">
        <f>O3</f>
        <v>-0.5</v>
      </c>
      <c r="H9" s="33">
        <f>P3</f>
        <v>-2</v>
      </c>
      <c r="I9" s="36">
        <f>J9+H9/100*I3</f>
        <v>45.829088627441209</v>
      </c>
      <c r="J9" s="36">
        <f>N3+(J8-D3)*(J3/100)</f>
        <v>45.93508862744121</v>
      </c>
      <c r="L9" s="34" t="s">
        <v>14</v>
      </c>
      <c r="M9" s="37">
        <f>I9-I14-T3-0.25</f>
        <v>1.6144797147560055</v>
      </c>
      <c r="N9" s="195">
        <f>IF(F3=1,1.2,IF(F3=2,"Type",IF(F3=3,2.25,IF(F3=4,3.25,IF(F3=5,3.5,IF(F3=6,4.3,IF(F3=7,4.8,IF(F3=8,"Type",IF(F3=9,6,IF(F3=10,6,"NG"))))))))))</f>
        <v>2.25</v>
      </c>
      <c r="O9" s="195" t="str">
        <f>IF(M11&lt;N9,"OK","NG")</f>
        <v>OK</v>
      </c>
      <c r="Y9" s="21" t="s">
        <v>34</v>
      </c>
      <c r="Z9" s="38">
        <v>0.4</v>
      </c>
      <c r="AA9" s="23">
        <v>6</v>
      </c>
      <c r="AB9" s="21">
        <v>10</v>
      </c>
      <c r="AC9" s="21">
        <f>8*2</f>
        <v>16</v>
      </c>
      <c r="AD9" s="250">
        <f>IF(Z7*100&gt;1200,(56*AB9/10)+Z7*100,Z7*100)</f>
        <v>1097.3927512346879</v>
      </c>
      <c r="AE9" s="250"/>
      <c r="AF9" s="250"/>
      <c r="AG9" s="250"/>
      <c r="AH9" s="250"/>
      <c r="AI9" s="29">
        <f>AD9/100</f>
        <v>10.973927512346879</v>
      </c>
      <c r="AJ9" s="24">
        <f t="shared" si="0"/>
        <v>175.58284019755007</v>
      </c>
      <c r="AK9" s="21">
        <f t="shared" si="2"/>
        <v>0.61699999999999999</v>
      </c>
      <c r="AL9" s="24">
        <f t="shared" si="7"/>
        <v>108.33461240188839</v>
      </c>
      <c r="AM9" s="25"/>
      <c r="AN9" s="1">
        <f t="shared" si="3"/>
        <v>10</v>
      </c>
      <c r="AO9" s="21" t="s">
        <v>34</v>
      </c>
      <c r="AP9" s="39">
        <v>0.4</v>
      </c>
      <c r="AQ9" s="26">
        <v>6</v>
      </c>
      <c r="AR9" s="21">
        <v>10</v>
      </c>
      <c r="AS9" s="21">
        <f>8*2</f>
        <v>16</v>
      </c>
      <c r="AT9" s="250">
        <f>IF(AP7*100&gt;1200,(56*AR9/10)+AP7*100,AP7*100)</f>
        <v>1097.3927512346879</v>
      </c>
      <c r="AU9" s="250"/>
      <c r="AV9" s="250"/>
      <c r="AW9" s="250"/>
      <c r="AX9" s="250"/>
      <c r="AY9" s="29">
        <f>AT9/100</f>
        <v>10.973927512346879</v>
      </c>
      <c r="AZ9" s="24">
        <f t="shared" si="4"/>
        <v>175.58284019755007</v>
      </c>
      <c r="BA9" s="21">
        <f>IF(AR9=10,0.617,IF(AR9=12,0.888,IF(AR9=14,1.21,IF(AR9=16,1.58,IF(AR9=18,2,IF(AR9=20,2.47,IF(AR9=22,2.98,IF(AR9=25,3.85,"NG"))))))))</f>
        <v>0.61699999999999999</v>
      </c>
      <c r="BB9" s="24">
        <f t="shared" si="1"/>
        <v>108.33461240188839</v>
      </c>
      <c r="BC9" s="25"/>
      <c r="BD9" s="1">
        <f t="shared" si="6"/>
        <v>10</v>
      </c>
    </row>
    <row r="10" spans="2:56" x14ac:dyDescent="0.25">
      <c r="L10" s="34" t="s">
        <v>13</v>
      </c>
      <c r="M10" s="37">
        <f>E9-E14-T3-0.25</f>
        <v>2.053020285244</v>
      </c>
      <c r="N10" s="195"/>
      <c r="O10" s="195"/>
      <c r="Y10" s="21" t="s">
        <v>35</v>
      </c>
      <c r="Z10" s="22">
        <f>IF(Z5=1,0.2,IF(Z5=2,0.3,IF(Z5=3,0.3,IF(Z5=4,0.4,IF(Z5=5,0.4,IF(Z5=6,0.4,IF(Z5=7,0.5,IF(Z5=8,0.6,IF(Z5=9,0.6,IF(Z5=10,0.6,"NG"))))))))))</f>
        <v>0.3</v>
      </c>
      <c r="AA10" s="23">
        <v>7</v>
      </c>
      <c r="AB10" s="21">
        <v>10</v>
      </c>
      <c r="AC10" s="21">
        <f>2*ROUND(3.3*Z7,0)</f>
        <v>72</v>
      </c>
      <c r="AD10" s="21">
        <f>IF(AND(Z5=2,Z8=0.25),17,IF(AND(Z5=3,Z8=0.25),22,IF(AND(Z5=4,Z8=0.25),22,IF(AND(Z5=5,Z8=0.25),22,IF(AND(Z5=6,Z8=0.25),22,IF(AND(Z5=7,Z8=0.25),22,IF(AND(Z5=8,Z8=0.25),22,0)))))))</f>
        <v>22</v>
      </c>
      <c r="AE10" s="21">
        <f>IF(AND(Z5=2,Z8=0.25),45,IF(AND(Z5=3,Z8=0.25),50,IF(AND(Z5=4,Z8=0.25),60,IF(AND(Z5=5,Z8=0.25),65,IF(AND(Z5=6,Z8=0.25),70,IF(AND(Z5=7,Z8=0.25),75,IF(AND(Z5=8,Z8=0.25),80,0)))))))</f>
        <v>50</v>
      </c>
      <c r="AF10" s="21">
        <f>IF(AND(Z5=2,Z8=0.25),45,IF(AND(Z5=3,Z8=0.25),50,IF(AND(Z5=4,Z8=0.25),60,IF(AND(Z5=5,Z8=0.25),60,IF(AND(Z5=6,Z8=0.25),60,IF(AND(Z5=7,Z8=0.25),70,IF(AND(Z5=8,Z8=0.25),80,0)))))))</f>
        <v>50</v>
      </c>
      <c r="AG10" s="226">
        <f>IF(AND(Z5=2,Z8=0.25),22,IF(AND(Z5=3,Z8=0.25),22,IF(AND(Z5=4,Z8=0.25),22,IF(AND(Z5=5,Z8=0.25),22,IF(AND(Z5=6,Z8=0.25),22,IF(AND(Z5=7,Z8=0.25),22,IF(AND(Z5=8,Z8=0.25),22,0)))))))</f>
        <v>22</v>
      </c>
      <c r="AH10" s="226"/>
      <c r="AI10" s="21">
        <f>(AD10+AE10*2+AF10*2+AG10)/100</f>
        <v>2.44</v>
      </c>
      <c r="AJ10" s="24">
        <f t="shared" si="0"/>
        <v>175.68</v>
      </c>
      <c r="AK10" s="21">
        <f t="shared" si="2"/>
        <v>0.61699999999999999</v>
      </c>
      <c r="AL10" s="24">
        <f>AJ10*AK10</f>
        <v>108.39456</v>
      </c>
      <c r="AM10" s="25"/>
      <c r="AN10" s="1">
        <f t="shared" si="3"/>
        <v>10</v>
      </c>
      <c r="AO10" s="21" t="s">
        <v>35</v>
      </c>
      <c r="AP10" s="25">
        <f>IF(AP5=1,0.2,IF(AP5=2,0.3,IF(AP5=3,0.3,IF(AP5=4,0.4,IF(AP5=5,0.4,IF(AP5=6,0.4,IF(AP5=7,0.5,IF(AP5=8,0.6,"NG"))))))))</f>
        <v>0.3</v>
      </c>
      <c r="AQ10" s="26">
        <v>7</v>
      </c>
      <c r="AR10" s="21">
        <v>10</v>
      </c>
      <c r="AS10" s="21">
        <f>2*ROUND(3.3*AP7,0)</f>
        <v>72</v>
      </c>
      <c r="AT10" s="21">
        <f>IF(AND(AP5=2,AP8=0.25),17,IF(AND(AP5=3,AP8=0.25),22,IF(AND(AP5=4,AP8=0.25),22,IF(AND(AP5=5,AP8=0.25),22,IF(AND(AP5=6,AP8=0.25),22,IF(AND(AP5=7,AP8=0.25),22,IF(AND(AP5=8,AP8=0.25),22,0)))))))</f>
        <v>22</v>
      </c>
      <c r="AU10" s="21">
        <f>IF(AND(AP5=2,AP8=0.25),45,IF(AND(AP5=3,AP8=0.25),50,IF(AND(AP5=4,AP8=0.25),60,IF(AND(AP5=5,AP8=0.25),65,IF(AND(AP5=6,AP8=0.25),70,IF(AND(AP5=7,AP8=0.25),75,IF(AND(AP5=8,AP8=0.25),80,0)))))))</f>
        <v>50</v>
      </c>
      <c r="AV10" s="21">
        <f>IF(AND(AP5=2,AP8=0.25),45,IF(AND(AP5=3,AP8=0.25),50,IF(AND(AP5=4,AP8=0.25),60,IF(AND(AP5=5,AP8=0.25),60,IF(AND(AP5=6,AP8=0.25),60,IF(AND(AP5=7,AP8=0.25),70,IF(AND(AP5=8,AP8=0.25),80,0)))))))</f>
        <v>50</v>
      </c>
      <c r="AW10" s="226">
        <f>IF(AND(AP5=2,AP8=0.25),22,IF(AND(AP5=3,AP8=0.25),22,IF(AND(AP5=4,AP8=0.25),22,IF(AND(AP5=5,AP8=0.25),22,IF(AND(AP5=6,AP8=0.25),22,IF(AND(AP5=7,AP8=0.25),22,IF(AND(AP5=8,AP8=0.25),22,0)))))))</f>
        <v>22</v>
      </c>
      <c r="AX10" s="226"/>
      <c r="AY10" s="21">
        <f>(AT10+AU10*2+AV10*2+AW10)/100</f>
        <v>2.44</v>
      </c>
      <c r="AZ10" s="24">
        <f t="shared" si="4"/>
        <v>175.68</v>
      </c>
      <c r="BA10" s="21">
        <f t="shared" si="5"/>
        <v>0.61699999999999999</v>
      </c>
      <c r="BB10" s="24">
        <f t="shared" si="1"/>
        <v>108.39456</v>
      </c>
      <c r="BC10" s="25"/>
      <c r="BD10" s="1">
        <f t="shared" si="6"/>
        <v>10</v>
      </c>
    </row>
    <row r="11" spans="2:56" x14ac:dyDescent="0.25">
      <c r="D11" s="2" t="s">
        <v>36</v>
      </c>
      <c r="E11" s="40">
        <f>E9-(S3+T3+U3)</f>
        <v>45.088411372558795</v>
      </c>
      <c r="I11" s="40">
        <f>I9-(S3+T3+U3)</f>
        <v>44.979088627441207</v>
      </c>
      <c r="J11" s="2" t="s">
        <v>36</v>
      </c>
      <c r="K11" s="41"/>
      <c r="M11" s="42">
        <f>AVERAGE(M9:M10)</f>
        <v>1.8337500000000029</v>
      </c>
      <c r="N11" s="195"/>
      <c r="O11" s="195"/>
      <c r="Y11" s="21" t="s">
        <v>37</v>
      </c>
      <c r="Z11" s="22">
        <f>ROUND((Z10/COS(G4)-Z10)*100,0)</f>
        <v>1</v>
      </c>
      <c r="AA11" s="23">
        <v>8</v>
      </c>
      <c r="AB11" s="21">
        <v>10</v>
      </c>
      <c r="AC11" s="21">
        <f>IF(Z9=0.4,4,3)*2</f>
        <v>8</v>
      </c>
      <c r="AD11" s="226">
        <f>IF(AND(Z5=2,Z8=0.25),250,IF(AND(Z5=3,Z8=0.25),350,IF(AND(Z5=4,Z8=0.25),470,IF(AND(Z5=5,Z8=0.25),570,IF(AND(Z5=6,Z8=0.25),670,IF(AND(Z5=7,Z8=0.25),790,IF(AND(Z5=8,Z8=0.25),910,0)))))))</f>
        <v>350</v>
      </c>
      <c r="AE11" s="226"/>
      <c r="AF11" s="226"/>
      <c r="AG11" s="226"/>
      <c r="AH11" s="226"/>
      <c r="AI11" s="21">
        <f>AD11/100</f>
        <v>3.5</v>
      </c>
      <c r="AJ11" s="21">
        <f t="shared" si="0"/>
        <v>28</v>
      </c>
      <c r="AK11" s="21">
        <f t="shared" si="2"/>
        <v>0.61699999999999999</v>
      </c>
      <c r="AL11" s="21"/>
      <c r="AM11" s="31">
        <f>AJ11*AK11</f>
        <v>17.276</v>
      </c>
      <c r="AN11" s="1">
        <f t="shared" si="3"/>
        <v>10</v>
      </c>
      <c r="AO11" s="21" t="s">
        <v>38</v>
      </c>
      <c r="AP11" s="25">
        <f>ROUND((AP10/COS(G4)-AP10)*100,0)</f>
        <v>1</v>
      </c>
      <c r="AQ11" s="26">
        <v>8</v>
      </c>
      <c r="AR11" s="21">
        <v>10</v>
      </c>
      <c r="AS11" s="21">
        <f>IF(AP9=0.4,4,3)*2</f>
        <v>8</v>
      </c>
      <c r="AT11" s="251">
        <f>IF(100*((AP4*AP13+(AP4-1)*AP12+2*AP10)-0.1)&gt;1200,(56*AR11/10)+100*((AP4*AP13+(AP4-1)*AP12+2*AP10)-0.1),100*((AP4*AP13+(AP4-1)*AP12+2*AP10)-0.1))</f>
        <v>689.55549577344095</v>
      </c>
      <c r="AU11" s="251"/>
      <c r="AV11" s="251"/>
      <c r="AW11" s="251"/>
      <c r="AX11" s="251"/>
      <c r="AY11" s="29">
        <f>AT11/100</f>
        <v>6.8955549577344097</v>
      </c>
      <c r="AZ11" s="24">
        <f t="shared" si="4"/>
        <v>55.164439661875278</v>
      </c>
      <c r="BA11" s="21">
        <f t="shared" si="5"/>
        <v>0.61699999999999999</v>
      </c>
      <c r="BB11" s="24"/>
      <c r="BC11" s="31">
        <f>AZ11*BA11</f>
        <v>34.036459271377048</v>
      </c>
      <c r="BD11" s="1">
        <f t="shared" si="6"/>
        <v>10</v>
      </c>
    </row>
    <row r="12" spans="2:56" x14ac:dyDescent="0.25">
      <c r="C12" s="2">
        <f>IF(C5="up",0,1)</f>
        <v>0</v>
      </c>
      <c r="K12" s="2">
        <f>IF(C5="up",1,0)</f>
        <v>1</v>
      </c>
      <c r="AA12" s="23">
        <v>9</v>
      </c>
      <c r="AB12" s="21">
        <v>10</v>
      </c>
      <c r="AC12" s="21">
        <f>IF(AND(Z5=2,Z8=0.25),2*ROUND(8.3,0),IF(AND(Z5=3,Z8=0.25),2*ROUND(11.6,0),IF(AND(Z5=4,Z8=0.25),2*ROUND(15.6,0),IF(AND(Z5=5,Z8=0.25),2*ROUND(19,0),IF(AND(Z5=6,Z8=0.25),2*ROUND(22.3,0),IF(AND(Z5=7,Z8=0.25),2*ROUND(28,0),IF(AND(Z5=8,Z8=0.25),2*ROUND(32,0),0)))))))</f>
        <v>24</v>
      </c>
      <c r="AD12" s="21">
        <f>IF(Z9=0.4,20+15,20)</f>
        <v>35</v>
      </c>
      <c r="AE12" s="21">
        <f>IF(Z9=0.4,40+15,40)</f>
        <v>55</v>
      </c>
      <c r="AF12" s="21">
        <v>7</v>
      </c>
      <c r="AG12" s="21">
        <v>15</v>
      </c>
      <c r="AH12" s="21">
        <v>25</v>
      </c>
      <c r="AI12" s="21">
        <f>SUM(AD12:AH12)/100</f>
        <v>1.37</v>
      </c>
      <c r="AJ12" s="21">
        <f>AC12*AI12</f>
        <v>32.880000000000003</v>
      </c>
      <c r="AK12" s="21">
        <f t="shared" si="2"/>
        <v>0.61699999999999999</v>
      </c>
      <c r="AL12" s="21"/>
      <c r="AM12" s="31">
        <f>AJ12*AK12</f>
        <v>20.286960000000001</v>
      </c>
      <c r="AN12" s="1">
        <f t="shared" si="3"/>
        <v>10</v>
      </c>
      <c r="AO12" s="21" t="s">
        <v>39</v>
      </c>
      <c r="AP12" s="25">
        <f>IF(AP5=1,0.4,IF(AP5=2,0.6,IF(AP5=3,0.6,IF(AP5=4,0.8,IF(AP5=5,0.8,IF(AP5=6,0.8,IF(AP5=7,1,IF(AP5=8,1.2,"NG"))))))))</f>
        <v>0.6</v>
      </c>
      <c r="AQ12" s="26">
        <v>9</v>
      </c>
      <c r="AR12" s="21">
        <v>10</v>
      </c>
      <c r="AS12" s="21">
        <f>IF(AND(AP5=2,AP8=0.25),AP4*2*ROUND(8.3,0),IF(AND(AP5=3,AP8=0.25),AP4*2*ROUND(11.6,0),IF(AND(AP5=4,AP8=0.25),AP4*2*ROUND(15.6,0),IF(AND(AP5=5,AP8=0.25),AP4*2*ROUND(19,0),IF(AND(AP5=6,AP8=0.25),AP4*2*ROUND(22.3,0),IF(AND(AP5=7,AP8=0.25),AP4*2*ROUND(28,0),IF(AND(AP5=8,AP8=0.25),AP4*2*ROUND(32,0),0)))))))</f>
        <v>48</v>
      </c>
      <c r="AT12" s="21">
        <f>IF(AP9=0.4,20+15,20)</f>
        <v>35</v>
      </c>
      <c r="AU12" s="21">
        <f>IF(AP9=0.4,40+15,40)</f>
        <v>55</v>
      </c>
      <c r="AV12" s="21">
        <v>7</v>
      </c>
      <c r="AW12" s="21">
        <v>15</v>
      </c>
      <c r="AX12" s="21">
        <v>25</v>
      </c>
      <c r="AY12" s="21">
        <f>SUM(AT12:AX12)/100</f>
        <v>1.37</v>
      </c>
      <c r="AZ12" s="24">
        <f>AS12*AY12</f>
        <v>65.760000000000005</v>
      </c>
      <c r="BA12" s="21">
        <f>IF(AR12=10,0.617,IF(AR12=12,0.888,IF(AR12=14,1.21,IF(AR12=16,1.58,IF(AR12=18,2,IF(AR12=20,2.47,IF(AR12=22,2.98,IF(AR12=25,3.85,"NG"))))))))</f>
        <v>0.61699999999999999</v>
      </c>
      <c r="BB12" s="24"/>
      <c r="BC12" s="31">
        <f>AZ12*BA12</f>
        <v>40.573920000000001</v>
      </c>
      <c r="BD12" s="1">
        <f t="shared" si="6"/>
        <v>10</v>
      </c>
    </row>
    <row r="13" spans="2:56" x14ac:dyDescent="0.25">
      <c r="W13" s="242" t="s">
        <v>40</v>
      </c>
      <c r="X13" s="242"/>
      <c r="Y13" s="242"/>
      <c r="Z13" s="243"/>
      <c r="AA13" s="43">
        <v>10</v>
      </c>
      <c r="AB13" s="44">
        <f>IF(AND(Z5=5,Z8=0.25),14,IF(AND(Z5=6,Z8=0.25),14,IF(AND(Z5=7,Z8=0.25),25,IF(AND(Z5=8,Z8=0.25),25,0))))</f>
        <v>0</v>
      </c>
      <c r="AC13" s="44">
        <f>IF(AND(Z5=5,Z8=0.25),2*ROUND(3.3*Z7,0),IF(AND(Z5=6,Z8=0.25),2*ROUND(3.3*Z7,0),IF(AND(Z5=7,Z8=0.25),2*ROUND(2*Z7,0),IF(AND(Z5=8,Z8=0.25),2*ROUND(2*Z7,0),0))))</f>
        <v>0</v>
      </c>
      <c r="AD13" s="244">
        <f>IF(AND(Z5=5,Z8=0.25),130,IF(AND(Z5=6,Z8=0.25),135,IF(AND(Z5=7,Z8=0.25),220,IF(AND(Z5=8,Z8=0.25),225,0))))</f>
        <v>0</v>
      </c>
      <c r="AE13" s="245"/>
      <c r="AF13" s="245"/>
      <c r="AG13" s="246"/>
      <c r="AH13" s="44">
        <f>IF(AND(Z5=5,Z8=0.25),20,IF(AND(Z5=6,Z8=0.25),20,IF(AND(Z5=7,Z8=0.25),30,IF(AND(Z5=8,Z8=0.25),30,0))))</f>
        <v>0</v>
      </c>
      <c r="AI13" s="44">
        <f>SUM(AD13:AH13)/100</f>
        <v>0</v>
      </c>
      <c r="AJ13" s="44">
        <f>AC13*AI13</f>
        <v>0</v>
      </c>
      <c r="AK13" s="44">
        <f>IF(AB13=10,0.617,IF(AB13=12,0.888,IF(AB13=14,1.21,IF(AB13=16,1.58,IF(AB13=18,2,IF(AB13=20,2.47,IF(AB13=22,2.98,IF(AB13=25,3.85,0))))))))</f>
        <v>0</v>
      </c>
      <c r="AL13" s="45">
        <f>AJ13*AK13</f>
        <v>0</v>
      </c>
      <c r="AM13" s="46"/>
      <c r="AN13" s="1">
        <f>IF(AB13&lt;12,10,IF(AB13&lt;20,12,20))</f>
        <v>10</v>
      </c>
      <c r="AO13" s="47" t="s">
        <v>41</v>
      </c>
      <c r="AP13" s="31">
        <f>AP5*COS(AP6)</f>
        <v>2.897777478867205</v>
      </c>
      <c r="AQ13" s="26">
        <v>10</v>
      </c>
      <c r="AR13" s="21">
        <f>IF(AND(AP5=7,AP8=0.25),25,IF(AND(AP5=8,AP8=0.25),25,14))</f>
        <v>14</v>
      </c>
      <c r="AS13" s="21">
        <f>IF(AND(AP5=6,AP8=0.25),2*ROUND(AP7/0.3,0),2*ROUND(AP7/0.5,0))</f>
        <v>44</v>
      </c>
      <c r="AT13" s="239">
        <f>IF(AND(AP5=2,AP8=0.25),115,IF(AND(AP5=3,AP8=0.25),120,IF(AND(AP5=4,AP8=0.25),130,IF(AND(AP5=5,AP8=0.25),130,IF(AND(AP5=6,AP8=0.25),135,IF(AND(AP5=7,AP8=0.25),220,IF(AND(AP5=8,AP8=0.25),225,0)))))))</f>
        <v>120</v>
      </c>
      <c r="AU13" s="240"/>
      <c r="AV13" s="240"/>
      <c r="AW13" s="241"/>
      <c r="AX13" s="21">
        <f>IF(AND(AP5=7,AP8=0.25),30,IF(AND(AP5=8,AP8=0.25),30,20))</f>
        <v>20</v>
      </c>
      <c r="AY13" s="21">
        <f>SUM(AT13:AX13)/100</f>
        <v>1.4</v>
      </c>
      <c r="AZ13" s="21">
        <f>AS13*AY13</f>
        <v>61.599999999999994</v>
      </c>
      <c r="BA13" s="21">
        <f>IF(AR13=10,0.617,IF(AR13=12,0.888,IF(AR13=14,1.21,IF(AR13=16,1.58,IF(AR13=18,2,IF(AR13=20,2.47,IF(AR13=22,2.98,IF(AR13=25,3.85,"NG"))))))))</f>
        <v>1.21</v>
      </c>
      <c r="BB13" s="24">
        <f>AZ13*BA13</f>
        <v>74.535999999999987</v>
      </c>
      <c r="BC13" s="31"/>
      <c r="BD13" s="1">
        <f t="shared" si="6"/>
        <v>12</v>
      </c>
    </row>
    <row r="14" spans="2:56" x14ac:dyDescent="0.25">
      <c r="D14" s="2" t="s">
        <v>42</v>
      </c>
      <c r="E14" s="40">
        <f>IF(C12=1,(L3-M3)+K3/100*(H3/COS(G4)),(L3-M3)-K3/100*(H3/COS(G4)))</f>
        <v>43.335391087314797</v>
      </c>
      <c r="I14" s="40">
        <f>IF(K12=1,(L3-M3)+K3/100*(I3/COS(G4)),(L3-M3)-K3/100*(I3/COS(G4)))</f>
        <v>43.664608912685203</v>
      </c>
      <c r="J14" s="2" t="s">
        <v>42</v>
      </c>
      <c r="K14" s="41"/>
      <c r="AA14" s="225" t="s">
        <v>43</v>
      </c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4">
        <f>(AM16-AM15)/Z7</f>
        <v>129.62125415737418</v>
      </c>
      <c r="AM14" s="25"/>
      <c r="AO14" s="1"/>
      <c r="AP14" s="1"/>
      <c r="AQ14" s="23">
        <v>11</v>
      </c>
      <c r="AR14" s="21">
        <f>IF(AND(AP5=7,AP8=0.25),25,IF(AND(AP5=8,AP8=0.25),25,14))</f>
        <v>14</v>
      </c>
      <c r="AS14" s="21">
        <f>IF(AND(AP5=6,AP8=0.25),2*(AP4-1)*ROUND(AP7/0.3,0),2*(AP4-1)*ROUND(AP7/0.5,0))</f>
        <v>44</v>
      </c>
      <c r="AT14" s="239">
        <f>AT13</f>
        <v>120</v>
      </c>
      <c r="AU14" s="240"/>
      <c r="AV14" s="240"/>
      <c r="AW14" s="241"/>
      <c r="AX14" s="21">
        <f>AX13</f>
        <v>20</v>
      </c>
      <c r="AY14" s="21">
        <f>SUM(AT14:AX14)/100</f>
        <v>1.4</v>
      </c>
      <c r="AZ14" s="21">
        <f>AS14*AY14</f>
        <v>61.599999999999994</v>
      </c>
      <c r="BA14" s="21">
        <f>IF(AR14=10,0.617,IF(AR14=12,0.888,IF(AR14=14,1.21,IF(AR14=16,1.58,IF(AR14=18,2,IF(AR14=20,2.47,IF(AR14=22,2.98,IF(AR14=25,3.85,"NG"))))))))</f>
        <v>1.21</v>
      </c>
      <c r="BB14" s="24">
        <f>AZ14*BA14</f>
        <v>74.535999999999987</v>
      </c>
      <c r="BC14" s="31"/>
      <c r="BD14" s="1">
        <f t="shared" si="6"/>
        <v>12</v>
      </c>
    </row>
    <row r="15" spans="2:56" ht="14.4" thickBot="1" x14ac:dyDescent="0.3">
      <c r="AA15" s="225" t="s">
        <v>44</v>
      </c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48">
        <f>SUM(AM11:AM12)</f>
        <v>37.562960000000004</v>
      </c>
      <c r="AO15" s="1"/>
      <c r="AP15" s="1"/>
      <c r="AQ15" s="23">
        <v>12</v>
      </c>
      <c r="AR15" s="21">
        <v>10</v>
      </c>
      <c r="AS15" s="21">
        <f>IF(AND(AP5=2,AP8=0.25),(AP4-1)*6,(AP4-1)*8)</f>
        <v>8</v>
      </c>
      <c r="AT15" s="247">
        <f>IF(AP7*100&gt;1200,(56*AR15/10)+AP7*100,AP7*100)</f>
        <v>1097.3927512346879</v>
      </c>
      <c r="AU15" s="248"/>
      <c r="AV15" s="248"/>
      <c r="AW15" s="248"/>
      <c r="AX15" s="249"/>
      <c r="AY15" s="29">
        <f>SUM(AT15:AX15)/100</f>
        <v>10.973927512346879</v>
      </c>
      <c r="AZ15" s="24">
        <f>AS15*AY15</f>
        <v>87.791420098775035</v>
      </c>
      <c r="BA15" s="21">
        <f>IF(AR15=10,0.617,IF(AR15=12,0.888,IF(AR15=14,1.21,IF(AR15=16,1.58,IF(AR15=18,2,IF(AR15=20,2.47,IF(AR15=22,2.98,IF(AR15=25,3.85,"NG"))))))))</f>
        <v>0.61699999999999999</v>
      </c>
      <c r="BB15" s="24">
        <f>AZ15*BA15</f>
        <v>54.167306200944196</v>
      </c>
      <c r="BC15" s="31"/>
      <c r="BD15" s="1">
        <f t="shared" si="6"/>
        <v>10</v>
      </c>
    </row>
    <row r="16" spans="2:56" ht="18" thickBot="1" x14ac:dyDescent="0.3">
      <c r="D16" s="2" t="s">
        <v>45</v>
      </c>
      <c r="E16" s="40">
        <f>E14-R3</f>
        <v>42.5353910873148</v>
      </c>
      <c r="I16" s="40">
        <f>I14-R3</f>
        <v>42.864608912685206</v>
      </c>
      <c r="J16" s="2" t="s">
        <v>45</v>
      </c>
      <c r="K16" s="234" t="s">
        <v>46</v>
      </c>
      <c r="L16" s="236" t="s">
        <v>47</v>
      </c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8"/>
      <c r="AA16" s="228" t="s">
        <v>48</v>
      </c>
      <c r="AB16" s="229"/>
      <c r="AC16" s="229"/>
      <c r="AD16" s="229"/>
      <c r="AE16" s="229"/>
      <c r="AF16" s="229"/>
      <c r="AG16" s="229"/>
      <c r="AH16" s="229"/>
      <c r="AI16" s="229"/>
      <c r="AJ16" s="229"/>
      <c r="AK16" s="229"/>
      <c r="AL16" s="229"/>
      <c r="AM16" s="49">
        <f>SUM(AL4:AL13)+AM15</f>
        <v>1460.0172071825159</v>
      </c>
      <c r="AQ16" s="23">
        <v>13</v>
      </c>
      <c r="AR16" s="21">
        <v>10</v>
      </c>
      <c r="AS16" s="21">
        <f>(AP4-1)*ROUND(AP7/0.3,0)</f>
        <v>37</v>
      </c>
      <c r="AT16" s="239">
        <f>2*(AP12*100-10)</f>
        <v>100</v>
      </c>
      <c r="AU16" s="240"/>
      <c r="AV16" s="241"/>
      <c r="AW16" s="239">
        <f>22*2</f>
        <v>44</v>
      </c>
      <c r="AX16" s="241"/>
      <c r="AY16" s="21">
        <f>SUM(AT16:AX16)/100</f>
        <v>1.44</v>
      </c>
      <c r="AZ16" s="24">
        <f>AS16*AY16</f>
        <v>53.28</v>
      </c>
      <c r="BA16" s="21">
        <f>IF(AR16=10,0.617,IF(AR16=12,0.888,IF(AR16=14,1.21,IF(AR16=16,1.58,IF(AR16=18,2,IF(AR16=20,2.47,IF(AR16=22,2.98,IF(AR16=25,3.85,"NG"))))))))</f>
        <v>0.61699999999999999</v>
      </c>
      <c r="BB16" s="24">
        <f>AZ16*BA16</f>
        <v>32.873759999999997</v>
      </c>
      <c r="BC16" s="31"/>
      <c r="BD16" s="1">
        <f t="shared" si="6"/>
        <v>10</v>
      </c>
    </row>
    <row r="17" spans="3:61" ht="39.6" customHeight="1" x14ac:dyDescent="0.3">
      <c r="K17" s="235"/>
      <c r="L17" s="140" t="s">
        <v>49</v>
      </c>
      <c r="M17" s="140" t="s">
        <v>50</v>
      </c>
      <c r="N17" s="140" t="s">
        <v>51</v>
      </c>
      <c r="O17" s="140" t="s">
        <v>52</v>
      </c>
      <c r="P17" s="140" t="s">
        <v>53</v>
      </c>
      <c r="Q17" s="141" t="s">
        <v>42</v>
      </c>
      <c r="R17" s="140" t="s">
        <v>54</v>
      </c>
      <c r="S17" s="140" t="s">
        <v>55</v>
      </c>
      <c r="T17" s="142" t="s">
        <v>56</v>
      </c>
      <c r="U17" s="142" t="s">
        <v>57</v>
      </c>
      <c r="V17" s="142" t="s">
        <v>58</v>
      </c>
      <c r="W17" s="142" t="s">
        <v>59</v>
      </c>
      <c r="X17" s="142" t="s">
        <v>60</v>
      </c>
      <c r="Y17" s="143" t="s">
        <v>61</v>
      </c>
      <c r="AQ17" s="225" t="s">
        <v>43</v>
      </c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4">
        <f>(BC19-BC18)/AP7</f>
        <v>261.00886714819677</v>
      </c>
      <c r="BC17" s="25"/>
    </row>
    <row r="18" spans="3:61" ht="22.8" customHeight="1" x14ac:dyDescent="0.3">
      <c r="F18" s="50">
        <f>H3/COS(G4)</f>
        <v>5.4869637561734397</v>
      </c>
      <c r="H18" s="50">
        <f>I3/COS(G4)</f>
        <v>5.4869637561734397</v>
      </c>
      <c r="J18" s="2">
        <f>IF(G4=0,COS(30*PI()/180),COS(45*PI()/180))</f>
        <v>0.70710678118654757</v>
      </c>
      <c r="K18" s="156" t="s">
        <v>62</v>
      </c>
      <c r="L18" s="144">
        <f>F22</f>
        <v>4.0999999999999996</v>
      </c>
      <c r="M18" s="145">
        <f>IF(I11-I14+T3+U3&lt;1,1,I11-I14+T3+U3)</f>
        <v>1.9144797147560042</v>
      </c>
      <c r="N18" s="145">
        <v>1</v>
      </c>
      <c r="O18" s="146" t="s">
        <v>63</v>
      </c>
      <c r="P18" s="146" t="s">
        <v>63</v>
      </c>
      <c r="Q18" s="146" t="s">
        <v>63</v>
      </c>
      <c r="R18" s="146">
        <v>0.8</v>
      </c>
      <c r="S18" s="146">
        <f>IF(M18&lt;2,U26,IF(M18&lt;3,U27,IF(M18&lt;4,U28,IF(M18&lt;5,U29,IF(M18&lt;6,U30,IF(M18&lt;7,U31,"NG"))))))</f>
        <v>0.8</v>
      </c>
      <c r="T18" s="146">
        <v>0.85</v>
      </c>
      <c r="U18" s="147">
        <f>IF(M18&lt;2,T26,IF(M18&lt;3,T27,IF(M18&lt;4,T28,IF(M18&lt;5,T29,IF(M18&lt;6,T30,IF(M18&lt;7,T31,"NG"))))))</f>
        <v>1.5358597860670034</v>
      </c>
      <c r="V18" s="147">
        <f>IF(M18&lt;2,V26,IF(M18&lt;3,V27,IF(M18&lt;4,V28,IF(M18&lt;5,V29,IF(M18&lt;6,V30,IF(M18&lt;7,V31,"NG"))))))</f>
        <v>1.1280950602304423</v>
      </c>
      <c r="W18" s="148">
        <v>0.68</v>
      </c>
      <c r="X18" s="147">
        <f>IF(M18&lt;2,W26,IF(M18&lt;3,W27,IF(M18&lt;4,W28,IF(M18&lt;5,W29,IF(M18&lt;6,W30,IF(M18&lt;7,W31,"NG"))))))</f>
        <v>0.48993515531177423</v>
      </c>
      <c r="Y18" s="149">
        <v>0.35</v>
      </c>
      <c r="AQ18" s="225" t="s">
        <v>44</v>
      </c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48">
        <f>SUM(BC11:BC12)</f>
        <v>74.610379271377042</v>
      </c>
    </row>
    <row r="19" spans="3:61" ht="22.8" customHeight="1" thickBot="1" x14ac:dyDescent="0.35">
      <c r="C19" s="227" t="s">
        <v>64</v>
      </c>
      <c r="D19" s="227"/>
      <c r="E19" s="227"/>
      <c r="F19" s="51">
        <f>F18+0.2+AP12/2</f>
        <v>5.9869637561734397</v>
      </c>
      <c r="G19" s="52"/>
      <c r="H19" s="51">
        <f>H18+0.2+AP12/2</f>
        <v>5.9869637561734397</v>
      </c>
      <c r="J19" s="2">
        <f>IF(G4=0,COS(30*PI()/180),1)</f>
        <v>1</v>
      </c>
      <c r="K19" s="156" t="s">
        <v>65</v>
      </c>
      <c r="L19" s="144">
        <f>F23</f>
        <v>3</v>
      </c>
      <c r="M19" s="145">
        <f>M18</f>
        <v>1.9144797147560042</v>
      </c>
      <c r="N19" s="145">
        <v>1</v>
      </c>
      <c r="O19" s="146" t="s">
        <v>63</v>
      </c>
      <c r="P19" s="146" t="s">
        <v>63</v>
      </c>
      <c r="Q19" s="146" t="s">
        <v>63</v>
      </c>
      <c r="R19" s="146">
        <v>0.8</v>
      </c>
      <c r="S19" s="146">
        <f>IF(M19&lt;2,U26,IF(M19&lt;3,U27,IF(M19&lt;4,U28,IF(M19&lt;5,U29,IF(M19&lt;6,U30,IF(M19&lt;7,U31,"NG"))))))</f>
        <v>0.8</v>
      </c>
      <c r="T19" s="146">
        <v>0.85</v>
      </c>
      <c r="U19" s="147">
        <f>IF(M19&lt;2,T26,IF(M19&lt;3,T27,IF(M19&lt;4,T28,IF(M19&lt;5,T29,IF(M19&lt;6,T30,IF(M19&lt;7,T31,"NG"))))))</f>
        <v>1.5358597860670034</v>
      </c>
      <c r="V19" s="147">
        <f>IF(M19&lt;2,V26,IF(M19&lt;3,V27,IF(M19&lt;4,V28,IF(M19&lt;5,V29,IF(M19&lt;6,V30,IF(M19&lt;7,V31,"NG"))))))</f>
        <v>1.1280950602304423</v>
      </c>
      <c r="W19" s="148">
        <v>0.68</v>
      </c>
      <c r="X19" s="147">
        <f>IF(M19&lt;2,W26,IF(M19&lt;3,W27,IF(M19&lt;4,W28,IF(M19&lt;5,W29,IF(M19&lt;6,W30,IF(M19&lt;7,W31,"NG"))))))</f>
        <v>0.48993515531177423</v>
      </c>
      <c r="Y19" s="149">
        <v>0.35</v>
      </c>
      <c r="AQ19" s="228" t="s">
        <v>48</v>
      </c>
      <c r="AR19" s="229"/>
      <c r="AS19" s="229"/>
      <c r="AT19" s="229"/>
      <c r="AU19" s="229"/>
      <c r="AV19" s="229"/>
      <c r="AW19" s="229"/>
      <c r="AX19" s="229"/>
      <c r="AY19" s="229"/>
      <c r="AZ19" s="229"/>
      <c r="BA19" s="229"/>
      <c r="BB19" s="229"/>
      <c r="BC19" s="49">
        <f>SUM(BB4:BB16)+BC18</f>
        <v>2938.9027674354652</v>
      </c>
    </row>
    <row r="20" spans="3:61" ht="22.8" customHeight="1" x14ac:dyDescent="0.3">
      <c r="K20" s="156" t="s">
        <v>66</v>
      </c>
      <c r="L20" s="144">
        <f>F24</f>
        <v>5.8</v>
      </c>
      <c r="M20" s="145">
        <f>IF(E11-E14+T3+U3&lt;1,1,E11-E14+T3+U3)</f>
        <v>2.3530202852439981</v>
      </c>
      <c r="N20" s="145">
        <v>1</v>
      </c>
      <c r="O20" s="146" t="s">
        <v>63</v>
      </c>
      <c r="P20" s="146" t="s">
        <v>63</v>
      </c>
      <c r="Q20" s="146" t="s">
        <v>63</v>
      </c>
      <c r="R20" s="146">
        <v>0.8</v>
      </c>
      <c r="S20" s="146">
        <f>IF(M20&lt;2,U35,IF(M20&lt;3,U36,IF(M20&lt;4,U37,IF(M20&lt;5,U38,IF(M20&lt;6,U39,IF(M20&lt;7,U40,"NG"))))))</f>
        <v>0.8</v>
      </c>
      <c r="T20" s="146">
        <v>0.85</v>
      </c>
      <c r="U20" s="147">
        <f>IF(M20&lt;2,T35,IF(M20&lt;3,T36,IF(M20&lt;4,T37,IF(M20&lt;5,T38,IF(M20&lt;6,T39,IF(M20&lt;7,T40,"NG"))))))</f>
        <v>1.8824162281951984</v>
      </c>
      <c r="V20" s="147">
        <f>IF(M20&lt;2,V35,IF(M20&lt;3,V36,IF(M20&lt;4,V37,IF(M20&lt;5,V38,IF(M20&lt;6,V39,IF(M20&lt;7,V40,"NG"))))))</f>
        <v>1.339449736917119</v>
      </c>
      <c r="W20" s="148">
        <v>0.68</v>
      </c>
      <c r="X20" s="147">
        <f>IF(M20&lt;2,W35,IF(M20&lt;3,W36,IF(M20&lt;4,W37,IF(M20&lt;5,W38,IF(M20&lt;6,W39,IF(M20&lt;7,W40,"NG"))))))</f>
        <v>0.55510964183578626</v>
      </c>
      <c r="Y20" s="149">
        <v>0.35</v>
      </c>
    </row>
    <row r="21" spans="3:61" ht="22.8" customHeight="1" thickBot="1" x14ac:dyDescent="0.35">
      <c r="K21" s="157" t="s">
        <v>67</v>
      </c>
      <c r="L21" s="150">
        <f>F25</f>
        <v>4</v>
      </c>
      <c r="M21" s="151">
        <f>M20</f>
        <v>2.3530202852439981</v>
      </c>
      <c r="N21" s="151">
        <v>1</v>
      </c>
      <c r="O21" s="152" t="s">
        <v>63</v>
      </c>
      <c r="P21" s="152" t="s">
        <v>63</v>
      </c>
      <c r="Q21" s="152" t="s">
        <v>63</v>
      </c>
      <c r="R21" s="152">
        <v>0.8</v>
      </c>
      <c r="S21" s="152">
        <f>IF(M21&lt;2,U35,IF(M21&lt;3,U36,IF(M21&lt;4,U37,IF(M21&lt;5,U38,IF(M21&lt;6,U39,IF(M21&lt;7,U40,"NG"))))))</f>
        <v>0.8</v>
      </c>
      <c r="T21" s="152">
        <v>0.85</v>
      </c>
      <c r="U21" s="153">
        <f>IF(M21&lt;2,T35,IF(M21&lt;3,T36,IF(M21&lt;4,T37,IF(M21&lt;5,T38,IF(M21&lt;6,T39,IF(M21&lt;7,T40,"NG"))))))</f>
        <v>1.8824162281951984</v>
      </c>
      <c r="V21" s="153">
        <f>IF(M21&lt;2,V35,IF(M21&lt;3,V36,IF(M21&lt;4,V37,IF(M21&lt;5,V38,IF(M21&lt;6,V39,IF(M21&lt;7,V40,"NG"))))))</f>
        <v>1.339449736917119</v>
      </c>
      <c r="W21" s="154">
        <v>0.68</v>
      </c>
      <c r="X21" s="153">
        <f>IF(M21&lt;2,W35,IF(M21&lt;3,W36,IF(M21&lt;4,W37,IF(M21&lt;5,W38,IF(M21&lt;6,W39,IF(M21&lt;7,W40,"NG"))))))</f>
        <v>0.55510964183578626</v>
      </c>
      <c r="Y21" s="155">
        <v>0.35</v>
      </c>
      <c r="BF21" s="230" t="s">
        <v>68</v>
      </c>
      <c r="BG21" s="55" t="s">
        <v>69</v>
      </c>
      <c r="BH21" s="55" t="s">
        <v>70</v>
      </c>
      <c r="BI21" s="55" t="s">
        <v>71</v>
      </c>
    </row>
    <row r="22" spans="3:61" ht="49.2" customHeight="1" x14ac:dyDescent="0.25">
      <c r="E22" s="3" t="s">
        <v>62</v>
      </c>
      <c r="F22" s="56">
        <f>IF(H22&lt;3,3,H22)</f>
        <v>4.0999999999999996</v>
      </c>
      <c r="G22" s="4">
        <f>K12</f>
        <v>1</v>
      </c>
      <c r="H22" s="57">
        <v>4.0999999999999996</v>
      </c>
      <c r="I22" s="4" t="s">
        <v>72</v>
      </c>
      <c r="J22" s="6">
        <f>IF(G22=1,(M18-N18-H22*K3/100)*(1/C6)/J18,(M18-N18+H22*K3/100)*(1/C6)/J18)</f>
        <v>3.3579640408533891</v>
      </c>
      <c r="AB22" s="136" t="s">
        <v>73</v>
      </c>
      <c r="AC22" s="137" t="s">
        <v>74</v>
      </c>
      <c r="AD22" s="138" t="s">
        <v>75</v>
      </c>
      <c r="AE22" s="138" t="s">
        <v>76</v>
      </c>
      <c r="AF22" s="137" t="s">
        <v>77</v>
      </c>
      <c r="AG22" s="137" t="s">
        <v>78</v>
      </c>
      <c r="AH22" s="137" t="s">
        <v>79</v>
      </c>
      <c r="AI22" s="137" t="s">
        <v>80</v>
      </c>
      <c r="AJ22" s="139" t="s">
        <v>80</v>
      </c>
      <c r="AL22" s="231" t="s">
        <v>68</v>
      </c>
      <c r="AM22" s="55" t="s">
        <v>69</v>
      </c>
      <c r="AN22" s="55" t="s">
        <v>70</v>
      </c>
      <c r="AO22" s="55" t="s">
        <v>71</v>
      </c>
      <c r="AQ22" s="136" t="s">
        <v>73</v>
      </c>
      <c r="AR22" s="137" t="s">
        <v>74</v>
      </c>
      <c r="AS22" s="138" t="s">
        <v>75</v>
      </c>
      <c r="AT22" s="138" t="s">
        <v>76</v>
      </c>
      <c r="AU22" s="137" t="s">
        <v>77</v>
      </c>
      <c r="AV22" s="137" t="s">
        <v>78</v>
      </c>
      <c r="AW22" s="137" t="s">
        <v>79</v>
      </c>
      <c r="AX22" s="137" t="s">
        <v>80</v>
      </c>
      <c r="AY22" s="139" t="s">
        <v>80</v>
      </c>
      <c r="BF22" s="230"/>
      <c r="BG22" s="24">
        <f t="shared" ref="BG22:BG28" si="8">IF(BD4=10,BB4,0)</f>
        <v>0</v>
      </c>
      <c r="BH22" s="24">
        <f t="shared" ref="BH22:BH28" si="9">IF(BD4=12,BB4,0)</f>
        <v>0</v>
      </c>
      <c r="BI22" s="24">
        <f t="shared" ref="BI22:BI28" si="10">IF(BD4=20,BB4,0)</f>
        <v>793.75920000000008</v>
      </c>
    </row>
    <row r="23" spans="3:61" ht="37.200000000000003" customHeight="1" x14ac:dyDescent="0.25">
      <c r="E23" s="27" t="s">
        <v>65</v>
      </c>
      <c r="F23" s="58">
        <f>IF(H23&lt;3,3,H23)</f>
        <v>3</v>
      </c>
      <c r="G23" s="35">
        <f>K12</f>
        <v>1</v>
      </c>
      <c r="H23" s="59">
        <v>3</v>
      </c>
      <c r="I23" s="35" t="s">
        <v>81</v>
      </c>
      <c r="J23" s="60">
        <f>IF(G23=1,(M19-N19-H23*K3/100)*(1/C6)/J19,(M19-N19+H23*K3/100)*(1/C6)/J19)</f>
        <v>2.4734391442680126</v>
      </c>
      <c r="AB23" s="129">
        <f t="shared" ref="AB23:AD31" si="11">AA4</f>
        <v>1</v>
      </c>
      <c r="AC23" s="130">
        <f t="shared" si="11"/>
        <v>20</v>
      </c>
      <c r="AD23" s="130">
        <f t="shared" si="11"/>
        <v>39</v>
      </c>
      <c r="AE23" s="127"/>
      <c r="AF23" s="131">
        <f t="shared" ref="AF23:AI29" si="12">AI4</f>
        <v>4.12</v>
      </c>
      <c r="AG23" s="130">
        <f t="shared" si="12"/>
        <v>160.68</v>
      </c>
      <c r="AH23" s="130">
        <f t="shared" si="12"/>
        <v>2.4700000000000002</v>
      </c>
      <c r="AI23" s="130">
        <f t="shared" si="12"/>
        <v>396.87960000000004</v>
      </c>
      <c r="AJ23" s="128" t="s">
        <v>63</v>
      </c>
      <c r="AL23" s="232"/>
      <c r="AM23" s="24">
        <f t="shared" ref="AM23:AM29" si="13">IF(AN4=10,AL4,0)</f>
        <v>0</v>
      </c>
      <c r="AN23" s="24">
        <f t="shared" ref="AN23:AN29" si="14">IF(AN4=12,AL4,0)</f>
        <v>0</v>
      </c>
      <c r="AO23" s="24">
        <f t="shared" ref="AO23:AO29" si="15">IF(AN4=20,AL4,0)</f>
        <v>396.87960000000004</v>
      </c>
      <c r="AQ23" s="129">
        <v>1</v>
      </c>
      <c r="AR23" s="130">
        <f t="shared" ref="AR23:AR35" si="16">AR4</f>
        <v>20</v>
      </c>
      <c r="AS23" s="130">
        <f t="shared" ref="AS23:AS35" si="17">AS4</f>
        <v>78</v>
      </c>
      <c r="AT23" s="130"/>
      <c r="AU23" s="133">
        <f t="shared" ref="AU23:AU35" si="18">AY4</f>
        <v>4.12</v>
      </c>
      <c r="AV23" s="133">
        <f t="shared" ref="AV23:AV35" si="19">AZ4</f>
        <v>321.36</v>
      </c>
      <c r="AW23" s="133">
        <f t="shared" ref="AW23:AW35" si="20">BA4</f>
        <v>2.4700000000000002</v>
      </c>
      <c r="AX23" s="133">
        <f t="shared" ref="AX23:AX29" si="21">BB4</f>
        <v>793.75920000000008</v>
      </c>
      <c r="AY23" s="128" t="s">
        <v>63</v>
      </c>
      <c r="BF23" s="230"/>
      <c r="BG23" s="24">
        <f t="shared" si="8"/>
        <v>0</v>
      </c>
      <c r="BH23" s="24">
        <f t="shared" si="9"/>
        <v>0</v>
      </c>
      <c r="BI23" s="24">
        <f t="shared" si="10"/>
        <v>793.75920000000008</v>
      </c>
    </row>
    <row r="24" spans="3:61" ht="37.200000000000003" customHeight="1" thickBot="1" x14ac:dyDescent="0.3">
      <c r="E24" s="27" t="s">
        <v>66</v>
      </c>
      <c r="F24" s="58">
        <f>IF(H24&lt;3,3,H24)</f>
        <v>5.8</v>
      </c>
      <c r="G24" s="35">
        <f>C12</f>
        <v>0</v>
      </c>
      <c r="H24" s="59">
        <v>5.8</v>
      </c>
      <c r="I24" s="35" t="s">
        <v>82</v>
      </c>
      <c r="J24" s="60">
        <f>IF(G24=1,(M20-N20-H24*K3/100)*(1/C6)/J18,(M20-N20+H24*K3/100)*(1/C6)/J18)</f>
        <v>6.4785983922326826</v>
      </c>
      <c r="T24" s="2"/>
      <c r="U24" s="2"/>
      <c r="V24" s="2"/>
      <c r="W24" s="2"/>
      <c r="X24"/>
      <c r="AB24" s="129">
        <f t="shared" si="11"/>
        <v>2</v>
      </c>
      <c r="AC24" s="130">
        <f t="shared" si="11"/>
        <v>20</v>
      </c>
      <c r="AD24" s="130">
        <f t="shared" si="11"/>
        <v>39</v>
      </c>
      <c r="AE24" s="127"/>
      <c r="AF24" s="131">
        <f t="shared" si="12"/>
        <v>4.12</v>
      </c>
      <c r="AG24" s="130">
        <f t="shared" si="12"/>
        <v>160.68</v>
      </c>
      <c r="AH24" s="130">
        <f t="shared" si="12"/>
        <v>2.4700000000000002</v>
      </c>
      <c r="AI24" s="130">
        <f t="shared" si="12"/>
        <v>396.87960000000004</v>
      </c>
      <c r="AJ24" s="128" t="s">
        <v>63</v>
      </c>
      <c r="AL24" s="232"/>
      <c r="AM24" s="24">
        <f t="shared" si="13"/>
        <v>0</v>
      </c>
      <c r="AN24" s="24">
        <f t="shared" si="14"/>
        <v>0</v>
      </c>
      <c r="AO24" s="24">
        <f t="shared" si="15"/>
        <v>396.87960000000004</v>
      </c>
      <c r="AQ24" s="129">
        <v>2</v>
      </c>
      <c r="AR24" s="130">
        <f t="shared" si="16"/>
        <v>20</v>
      </c>
      <c r="AS24" s="130">
        <f t="shared" si="17"/>
        <v>78</v>
      </c>
      <c r="AT24" s="130"/>
      <c r="AU24" s="133">
        <f t="shared" si="18"/>
        <v>4.12</v>
      </c>
      <c r="AV24" s="133">
        <f t="shared" si="19"/>
        <v>321.36</v>
      </c>
      <c r="AW24" s="133">
        <f t="shared" si="20"/>
        <v>2.4700000000000002</v>
      </c>
      <c r="AX24" s="133">
        <f t="shared" si="21"/>
        <v>793.75920000000008</v>
      </c>
      <c r="AY24" s="128" t="s">
        <v>63</v>
      </c>
      <c r="BF24" s="230"/>
      <c r="BG24" s="24">
        <f t="shared" si="8"/>
        <v>0</v>
      </c>
      <c r="BH24" s="24">
        <f t="shared" si="9"/>
        <v>451.46737785795057</v>
      </c>
      <c r="BI24" s="24">
        <f t="shared" si="10"/>
        <v>0</v>
      </c>
    </row>
    <row r="25" spans="3:61" ht="37.200000000000003" customHeight="1" thickBot="1" x14ac:dyDescent="0.3">
      <c r="E25" s="12" t="s">
        <v>67</v>
      </c>
      <c r="F25" s="61">
        <f>IF(H25&lt;3,3,H25)</f>
        <v>4</v>
      </c>
      <c r="G25" s="13">
        <f>C12</f>
        <v>0</v>
      </c>
      <c r="H25" s="62">
        <v>4</v>
      </c>
      <c r="I25" s="13" t="s">
        <v>83</v>
      </c>
      <c r="J25" s="54">
        <f>IF(G25=1,(M21-N21-H25*K3/100)*(1/C6)/J19,(M21-N21+H25*K3/100)*(1/C6)/J19)</f>
        <v>4.4190608557319946</v>
      </c>
      <c r="K25" s="3" t="s">
        <v>84</v>
      </c>
      <c r="L25" s="4" t="s">
        <v>85</v>
      </c>
      <c r="M25" s="4" t="s">
        <v>86</v>
      </c>
      <c r="N25" s="4" t="s">
        <v>87</v>
      </c>
      <c r="O25" s="63" t="s">
        <v>15</v>
      </c>
      <c r="P25" s="3" t="s">
        <v>88</v>
      </c>
      <c r="Q25" s="4" t="s">
        <v>84</v>
      </c>
      <c r="R25" s="4" t="s">
        <v>85</v>
      </c>
      <c r="S25" s="4" t="s">
        <v>86</v>
      </c>
      <c r="T25" s="4" t="s">
        <v>87</v>
      </c>
      <c r="U25" s="4" t="s">
        <v>15</v>
      </c>
      <c r="V25" s="4" t="s">
        <v>89</v>
      </c>
      <c r="W25" s="6" t="s">
        <v>90</v>
      </c>
      <c r="X25"/>
      <c r="AB25" s="129">
        <f t="shared" si="11"/>
        <v>3</v>
      </c>
      <c r="AC25" s="130">
        <f t="shared" si="11"/>
        <v>14</v>
      </c>
      <c r="AD25" s="130">
        <f t="shared" si="11"/>
        <v>17</v>
      </c>
      <c r="AE25" s="127"/>
      <c r="AF25" s="131">
        <f t="shared" si="12"/>
        <v>10.973927512346879</v>
      </c>
      <c r="AG25" s="130">
        <f t="shared" si="12"/>
        <v>186.55676770989695</v>
      </c>
      <c r="AH25" s="130">
        <f t="shared" si="12"/>
        <v>1.21</v>
      </c>
      <c r="AI25" s="130">
        <f t="shared" si="12"/>
        <v>225.73368892897528</v>
      </c>
      <c r="AJ25" s="128" t="s">
        <v>63</v>
      </c>
      <c r="AL25" s="232"/>
      <c r="AM25" s="24">
        <f t="shared" si="13"/>
        <v>0</v>
      </c>
      <c r="AN25" s="24">
        <f t="shared" si="14"/>
        <v>225.73368892897528</v>
      </c>
      <c r="AO25" s="24">
        <f t="shared" si="15"/>
        <v>0</v>
      </c>
      <c r="AQ25" s="129">
        <v>3</v>
      </c>
      <c r="AR25" s="130">
        <f t="shared" si="16"/>
        <v>14</v>
      </c>
      <c r="AS25" s="130">
        <f t="shared" si="17"/>
        <v>34</v>
      </c>
      <c r="AT25" s="130"/>
      <c r="AU25" s="133">
        <f t="shared" si="18"/>
        <v>10.973927512346879</v>
      </c>
      <c r="AV25" s="133">
        <f t="shared" si="19"/>
        <v>373.11353541979389</v>
      </c>
      <c r="AW25" s="133">
        <f t="shared" si="20"/>
        <v>1.21</v>
      </c>
      <c r="AX25" s="133">
        <f t="shared" si="21"/>
        <v>451.46737785795057</v>
      </c>
      <c r="AY25" s="128" t="s">
        <v>63</v>
      </c>
      <c r="BF25" s="230"/>
      <c r="BG25" s="24">
        <f t="shared" si="8"/>
        <v>182.87879999999998</v>
      </c>
      <c r="BH25" s="24">
        <f t="shared" si="9"/>
        <v>0</v>
      </c>
      <c r="BI25" s="24">
        <f t="shared" si="10"/>
        <v>0</v>
      </c>
    </row>
    <row r="26" spans="3:61" ht="37.200000000000003" customHeight="1" x14ac:dyDescent="0.25">
      <c r="J26"/>
      <c r="K26" s="27">
        <v>1</v>
      </c>
      <c r="L26" s="35">
        <v>0</v>
      </c>
      <c r="M26" s="35">
        <v>0.17</v>
      </c>
      <c r="N26" s="35">
        <v>0.85</v>
      </c>
      <c r="O26" s="34">
        <v>0.8</v>
      </c>
      <c r="P26" s="64" t="s">
        <v>91</v>
      </c>
      <c r="Q26" s="35">
        <f>IF(AND(M18&lt;=2,M18&gt;=1),M18,)</f>
        <v>1.9144797147560042</v>
      </c>
      <c r="R26" s="37">
        <f t="shared" ref="R26:R31" si="22">(L27-L26)*(Q26-K26)/(K27-K26)+L26</f>
        <v>0.13717195721340061</v>
      </c>
      <c r="S26" s="37">
        <f t="shared" ref="S26:S31" si="23">(M27-M26)*(Q26-K26)/(K27-K26)+M26</f>
        <v>0.40776472583656109</v>
      </c>
      <c r="T26" s="37">
        <f t="shared" ref="T26:T31" si="24">(N27-N26)*(Q26-K26)/(K27-K26)+N26</f>
        <v>1.5358597860670034</v>
      </c>
      <c r="U26" s="35">
        <f t="shared" ref="U26:U31" si="25">(O27-O26)*(Q26-K26)/(K27-K26)+O26</f>
        <v>0.8</v>
      </c>
      <c r="V26" s="37">
        <f t="shared" ref="V26:V31" si="26">T26-S26</f>
        <v>1.1280950602304423</v>
      </c>
      <c r="W26" s="65">
        <f t="shared" ref="W26:W31" si="27">T26-S26-(Q26/3)</f>
        <v>0.48993515531177423</v>
      </c>
      <c r="X26"/>
      <c r="AB26" s="129">
        <f t="shared" si="11"/>
        <v>4</v>
      </c>
      <c r="AC26" s="130">
        <f t="shared" si="11"/>
        <v>10</v>
      </c>
      <c r="AD26" s="130">
        <f t="shared" si="11"/>
        <v>39</v>
      </c>
      <c r="AE26" s="127"/>
      <c r="AF26" s="131">
        <f t="shared" si="12"/>
        <v>3.8</v>
      </c>
      <c r="AG26" s="130">
        <f t="shared" si="12"/>
        <v>148.19999999999999</v>
      </c>
      <c r="AH26" s="130">
        <f t="shared" si="12"/>
        <v>0.61699999999999999</v>
      </c>
      <c r="AI26" s="130">
        <f t="shared" si="12"/>
        <v>91.439399999999992</v>
      </c>
      <c r="AJ26" s="128" t="s">
        <v>63</v>
      </c>
      <c r="AL26" s="232"/>
      <c r="AM26" s="24">
        <f t="shared" si="13"/>
        <v>91.439399999999992</v>
      </c>
      <c r="AN26" s="24">
        <f t="shared" si="14"/>
        <v>0</v>
      </c>
      <c r="AO26" s="24">
        <f t="shared" si="15"/>
        <v>0</v>
      </c>
      <c r="AQ26" s="129">
        <v>4</v>
      </c>
      <c r="AR26" s="130">
        <f t="shared" si="16"/>
        <v>10</v>
      </c>
      <c r="AS26" s="130">
        <f t="shared" si="17"/>
        <v>78</v>
      </c>
      <c r="AT26" s="130"/>
      <c r="AU26" s="133">
        <f t="shared" si="18"/>
        <v>3.8</v>
      </c>
      <c r="AV26" s="133">
        <f t="shared" si="19"/>
        <v>296.39999999999998</v>
      </c>
      <c r="AW26" s="133">
        <f t="shared" si="20"/>
        <v>0.61699999999999999</v>
      </c>
      <c r="AX26" s="133">
        <f t="shared" si="21"/>
        <v>182.87879999999998</v>
      </c>
      <c r="AY26" s="128" t="s">
        <v>63</v>
      </c>
      <c r="BF26" s="230"/>
      <c r="BG26" s="24">
        <f t="shared" si="8"/>
        <v>189.58557170330468</v>
      </c>
      <c r="BH26" s="24">
        <f t="shared" si="9"/>
        <v>0</v>
      </c>
      <c r="BI26" s="24">
        <f t="shared" si="10"/>
        <v>0</v>
      </c>
    </row>
    <row r="27" spans="3:61" ht="37.200000000000003" customHeight="1" x14ac:dyDescent="0.25">
      <c r="J27"/>
      <c r="K27" s="27">
        <v>2</v>
      </c>
      <c r="L27" s="35">
        <v>0.15</v>
      </c>
      <c r="M27" s="35">
        <v>0.43</v>
      </c>
      <c r="N27" s="35">
        <v>1.6</v>
      </c>
      <c r="O27" s="34">
        <v>0.8</v>
      </c>
      <c r="P27" s="27" t="s">
        <v>92</v>
      </c>
      <c r="Q27" s="35">
        <f>IF(AND(M18&lt;=3,M18&gt;2),M18,)</f>
        <v>0</v>
      </c>
      <c r="R27" s="37">
        <f t="shared" si="22"/>
        <v>-0.15</v>
      </c>
      <c r="S27" s="37">
        <f t="shared" si="23"/>
        <v>-0.21000000000000002</v>
      </c>
      <c r="T27" s="37">
        <f t="shared" si="24"/>
        <v>0</v>
      </c>
      <c r="U27" s="37">
        <f t="shared" si="25"/>
        <v>0.8</v>
      </c>
      <c r="V27" s="37">
        <f t="shared" si="26"/>
        <v>0.21000000000000002</v>
      </c>
      <c r="W27" s="65">
        <f t="shared" si="27"/>
        <v>0.21000000000000002</v>
      </c>
      <c r="X27"/>
      <c r="AB27" s="129">
        <f t="shared" si="11"/>
        <v>5</v>
      </c>
      <c r="AC27" s="130">
        <f t="shared" si="11"/>
        <v>10</v>
      </c>
      <c r="AD27" s="130">
        <f t="shared" si="11"/>
        <v>14</v>
      </c>
      <c r="AE27" s="127"/>
      <c r="AF27" s="131">
        <f t="shared" si="12"/>
        <v>10.973927512346879</v>
      </c>
      <c r="AG27" s="130">
        <f t="shared" si="12"/>
        <v>153.63498517285632</v>
      </c>
      <c r="AH27" s="130">
        <f t="shared" si="12"/>
        <v>0.61699999999999999</v>
      </c>
      <c r="AI27" s="130">
        <f t="shared" si="12"/>
        <v>94.79278585165234</v>
      </c>
      <c r="AJ27" s="128" t="s">
        <v>63</v>
      </c>
      <c r="AL27" s="232"/>
      <c r="AM27" s="24">
        <f t="shared" si="13"/>
        <v>94.79278585165234</v>
      </c>
      <c r="AN27" s="24">
        <f t="shared" si="14"/>
        <v>0</v>
      </c>
      <c r="AO27" s="24">
        <f t="shared" si="15"/>
        <v>0</v>
      </c>
      <c r="AQ27" s="129">
        <v>5</v>
      </c>
      <c r="AR27" s="130">
        <f t="shared" si="16"/>
        <v>10</v>
      </c>
      <c r="AS27" s="130">
        <f t="shared" si="17"/>
        <v>28</v>
      </c>
      <c r="AT27" s="130"/>
      <c r="AU27" s="133">
        <f t="shared" si="18"/>
        <v>10.973927512346879</v>
      </c>
      <c r="AV27" s="133">
        <f t="shared" si="19"/>
        <v>307.26997034571264</v>
      </c>
      <c r="AW27" s="133">
        <f t="shared" si="20"/>
        <v>0.61699999999999999</v>
      </c>
      <c r="AX27" s="133">
        <f t="shared" si="21"/>
        <v>189.58557170330468</v>
      </c>
      <c r="AY27" s="128" t="s">
        <v>63</v>
      </c>
      <c r="BF27" s="230"/>
      <c r="BG27" s="24">
        <f t="shared" si="8"/>
        <v>108.33461240188839</v>
      </c>
      <c r="BH27" s="24">
        <f t="shared" si="9"/>
        <v>0</v>
      </c>
      <c r="BI27" s="24">
        <f t="shared" si="10"/>
        <v>0</v>
      </c>
    </row>
    <row r="28" spans="3:61" ht="37.200000000000003" customHeight="1" x14ac:dyDescent="0.25">
      <c r="J28"/>
      <c r="K28" s="27">
        <v>3</v>
      </c>
      <c r="L28" s="35">
        <v>0.3</v>
      </c>
      <c r="M28" s="35">
        <v>0.75</v>
      </c>
      <c r="N28" s="35">
        <v>2.4</v>
      </c>
      <c r="O28" s="34">
        <v>0.8</v>
      </c>
      <c r="P28" s="27" t="s">
        <v>93</v>
      </c>
      <c r="Q28" s="35">
        <f>IF(AND(M18&lt;=4,M18&gt;3),M18,)</f>
        <v>0</v>
      </c>
      <c r="R28" s="37">
        <f t="shared" si="22"/>
        <v>-0.15000000000000008</v>
      </c>
      <c r="S28" s="37">
        <f t="shared" si="23"/>
        <v>-6.0000000000000053E-2</v>
      </c>
      <c r="T28" s="37">
        <f t="shared" si="24"/>
        <v>0.14999999999999991</v>
      </c>
      <c r="U28" s="37">
        <f t="shared" si="25"/>
        <v>0.8</v>
      </c>
      <c r="V28" s="37">
        <f t="shared" si="26"/>
        <v>0.20999999999999996</v>
      </c>
      <c r="W28" s="65">
        <f t="shared" si="27"/>
        <v>0.20999999999999996</v>
      </c>
      <c r="X28"/>
      <c r="AB28" s="129">
        <f t="shared" si="11"/>
        <v>6</v>
      </c>
      <c r="AC28" s="130">
        <f t="shared" si="11"/>
        <v>10</v>
      </c>
      <c r="AD28" s="130">
        <f t="shared" si="11"/>
        <v>16</v>
      </c>
      <c r="AE28" s="127"/>
      <c r="AF28" s="131">
        <f t="shared" si="12"/>
        <v>10.973927512346879</v>
      </c>
      <c r="AG28" s="130">
        <f t="shared" si="12"/>
        <v>175.58284019755007</v>
      </c>
      <c r="AH28" s="130">
        <f t="shared" si="12"/>
        <v>0.61699999999999999</v>
      </c>
      <c r="AI28" s="130">
        <f t="shared" si="12"/>
        <v>108.33461240188839</v>
      </c>
      <c r="AJ28" s="128" t="s">
        <v>63</v>
      </c>
      <c r="AL28" s="232"/>
      <c r="AM28" s="24">
        <f t="shared" si="13"/>
        <v>108.33461240188839</v>
      </c>
      <c r="AN28" s="24">
        <f t="shared" si="14"/>
        <v>0</v>
      </c>
      <c r="AO28" s="24">
        <f t="shared" si="15"/>
        <v>0</v>
      </c>
      <c r="AQ28" s="129">
        <v>6</v>
      </c>
      <c r="AR28" s="130">
        <f t="shared" si="16"/>
        <v>10</v>
      </c>
      <c r="AS28" s="130">
        <f t="shared" si="17"/>
        <v>16</v>
      </c>
      <c r="AT28" s="130"/>
      <c r="AU28" s="133">
        <f t="shared" si="18"/>
        <v>10.973927512346879</v>
      </c>
      <c r="AV28" s="133">
        <f t="shared" si="19"/>
        <v>175.58284019755007</v>
      </c>
      <c r="AW28" s="133">
        <f t="shared" si="20"/>
        <v>0.61699999999999999</v>
      </c>
      <c r="AX28" s="133">
        <f t="shared" si="21"/>
        <v>108.33461240188839</v>
      </c>
      <c r="AY28" s="128" t="s">
        <v>63</v>
      </c>
      <c r="BF28" s="230"/>
      <c r="BG28" s="24">
        <f t="shared" si="8"/>
        <v>108.39456</v>
      </c>
      <c r="BH28" s="24">
        <f t="shared" si="9"/>
        <v>0</v>
      </c>
      <c r="BI28" s="24">
        <f t="shared" si="10"/>
        <v>0</v>
      </c>
    </row>
    <row r="29" spans="3:61" ht="37.200000000000003" customHeight="1" x14ac:dyDescent="0.25">
      <c r="J29"/>
      <c r="K29" s="27">
        <v>4</v>
      </c>
      <c r="L29" s="35">
        <v>0.45</v>
      </c>
      <c r="M29" s="35">
        <v>1.02</v>
      </c>
      <c r="N29" s="35">
        <v>3.15</v>
      </c>
      <c r="O29" s="34">
        <v>0.8</v>
      </c>
      <c r="P29" s="27" t="s">
        <v>94</v>
      </c>
      <c r="Q29" s="35">
        <f>IF(AND(M18&lt;=5,M18&gt;4),M18,)</f>
        <v>0</v>
      </c>
      <c r="R29" s="37">
        <f t="shared" si="22"/>
        <v>-0.14999999999999986</v>
      </c>
      <c r="S29" s="37">
        <f t="shared" si="23"/>
        <v>-2.0000000000000018E-2</v>
      </c>
      <c r="T29" s="37">
        <f t="shared" si="24"/>
        <v>0.14999999999999991</v>
      </c>
      <c r="U29" s="37">
        <f t="shared" si="25"/>
        <v>0</v>
      </c>
      <c r="V29" s="37">
        <f t="shared" si="26"/>
        <v>0.16999999999999993</v>
      </c>
      <c r="W29" s="65">
        <f t="shared" si="27"/>
        <v>0.16999999999999993</v>
      </c>
      <c r="X29"/>
      <c r="AB29" s="129">
        <f t="shared" si="11"/>
        <v>7</v>
      </c>
      <c r="AC29" s="130">
        <f t="shared" si="11"/>
        <v>10</v>
      </c>
      <c r="AD29" s="130">
        <f t="shared" si="11"/>
        <v>72</v>
      </c>
      <c r="AE29" s="127"/>
      <c r="AF29" s="131">
        <f t="shared" si="12"/>
        <v>2.44</v>
      </c>
      <c r="AG29" s="130">
        <f t="shared" si="12"/>
        <v>175.68</v>
      </c>
      <c r="AH29" s="130">
        <f t="shared" si="12"/>
        <v>0.61699999999999999</v>
      </c>
      <c r="AI29" s="130">
        <f t="shared" si="12"/>
        <v>108.39456</v>
      </c>
      <c r="AJ29" s="128" t="s">
        <v>63</v>
      </c>
      <c r="AL29" s="232"/>
      <c r="AM29" s="24">
        <f t="shared" si="13"/>
        <v>108.39456</v>
      </c>
      <c r="AN29" s="24">
        <f t="shared" si="14"/>
        <v>0</v>
      </c>
      <c r="AO29" s="24">
        <f t="shared" si="15"/>
        <v>0</v>
      </c>
      <c r="AQ29" s="129">
        <v>7</v>
      </c>
      <c r="AR29" s="130">
        <f t="shared" si="16"/>
        <v>10</v>
      </c>
      <c r="AS29" s="130">
        <f t="shared" si="17"/>
        <v>72</v>
      </c>
      <c r="AT29" s="130"/>
      <c r="AU29" s="133">
        <f t="shared" si="18"/>
        <v>2.44</v>
      </c>
      <c r="AV29" s="133">
        <f t="shared" si="19"/>
        <v>175.68</v>
      </c>
      <c r="AW29" s="133">
        <f t="shared" si="20"/>
        <v>0.61699999999999999</v>
      </c>
      <c r="AX29" s="133">
        <f t="shared" si="21"/>
        <v>108.39456</v>
      </c>
      <c r="AY29" s="128" t="s">
        <v>63</v>
      </c>
      <c r="BF29" s="230"/>
      <c r="BG29" s="24">
        <f>IF(BD11=10,BC11,0)</f>
        <v>34.036459271377048</v>
      </c>
      <c r="BH29" s="24">
        <f>IF(BD11=12,BC11,0)</f>
        <v>0</v>
      </c>
      <c r="BI29" s="24">
        <f>IF(BD11=20,BC11,0)</f>
        <v>0</v>
      </c>
    </row>
    <row r="30" spans="3:61" ht="37.200000000000003" customHeight="1" x14ac:dyDescent="0.25">
      <c r="J30"/>
      <c r="K30" s="27">
        <v>5</v>
      </c>
      <c r="L30" s="35">
        <v>0.6</v>
      </c>
      <c r="M30" s="35">
        <v>1.28</v>
      </c>
      <c r="N30" s="35">
        <v>3.9</v>
      </c>
      <c r="O30" s="34">
        <v>1</v>
      </c>
      <c r="P30" s="27" t="s">
        <v>95</v>
      </c>
      <c r="Q30" s="35">
        <f>IF(AND(M18&lt;=6,M18&gt;5),M18,)</f>
        <v>0</v>
      </c>
      <c r="R30" s="37">
        <f t="shared" si="22"/>
        <v>-0.15000000000000013</v>
      </c>
      <c r="S30" s="37">
        <f t="shared" si="23"/>
        <v>-0.32000000000000028</v>
      </c>
      <c r="T30" s="37">
        <f t="shared" si="24"/>
        <v>-0.10000000000000187</v>
      </c>
      <c r="U30" s="37">
        <f t="shared" si="25"/>
        <v>-0.50000000000000022</v>
      </c>
      <c r="V30" s="37">
        <f t="shared" si="26"/>
        <v>0.21999999999999842</v>
      </c>
      <c r="W30" s="65">
        <f t="shared" si="27"/>
        <v>0.21999999999999842</v>
      </c>
      <c r="X30"/>
      <c r="AB30" s="129">
        <f t="shared" si="11"/>
        <v>8</v>
      </c>
      <c r="AC30" s="130">
        <f t="shared" si="11"/>
        <v>10</v>
      </c>
      <c r="AD30" s="130">
        <f t="shared" si="11"/>
        <v>8</v>
      </c>
      <c r="AE30" s="127"/>
      <c r="AF30" s="131">
        <f t="shared" ref="AF30:AH31" si="28">AI11</f>
        <v>3.5</v>
      </c>
      <c r="AG30" s="130">
        <f t="shared" si="28"/>
        <v>28</v>
      </c>
      <c r="AH30" s="130">
        <f t="shared" si="28"/>
        <v>0.61699999999999999</v>
      </c>
      <c r="AI30" s="127" t="s">
        <v>63</v>
      </c>
      <c r="AJ30" s="132">
        <f>AM11</f>
        <v>17.276</v>
      </c>
      <c r="AL30" s="232"/>
      <c r="AM30" s="24">
        <f>IF(AN11=10,AM11,0)</f>
        <v>17.276</v>
      </c>
      <c r="AN30" s="24">
        <f>IF(AN11=12,AM11,0)</f>
        <v>0</v>
      </c>
      <c r="AO30" s="24">
        <f>IF(AN11=20,AM11,0)</f>
        <v>0</v>
      </c>
      <c r="AQ30" s="129">
        <v>8</v>
      </c>
      <c r="AR30" s="130">
        <f t="shared" si="16"/>
        <v>10</v>
      </c>
      <c r="AS30" s="130">
        <f t="shared" si="17"/>
        <v>8</v>
      </c>
      <c r="AT30" s="130"/>
      <c r="AU30" s="133">
        <f t="shared" si="18"/>
        <v>6.8955549577344097</v>
      </c>
      <c r="AV30" s="133">
        <f t="shared" si="19"/>
        <v>55.164439661875278</v>
      </c>
      <c r="AW30" s="133">
        <f t="shared" si="20"/>
        <v>0.61699999999999999</v>
      </c>
      <c r="AX30" s="128" t="s">
        <v>63</v>
      </c>
      <c r="AY30" s="158">
        <f t="shared" ref="AY30:AY31" si="29">BC11</f>
        <v>34.036459271377048</v>
      </c>
      <c r="BF30" s="230"/>
      <c r="BG30" s="24">
        <f>IF(BD12=10,BC12,0)</f>
        <v>40.573920000000001</v>
      </c>
      <c r="BH30" s="24">
        <f>IF(BD12=12,BC12,0)</f>
        <v>0</v>
      </c>
      <c r="BI30" s="24">
        <f>IF(BD12=20,BC12,0)</f>
        <v>0</v>
      </c>
    </row>
    <row r="31" spans="3:61" ht="37.200000000000003" customHeight="1" thickBot="1" x14ac:dyDescent="0.3">
      <c r="J31"/>
      <c r="K31" s="27">
        <v>6</v>
      </c>
      <c r="L31" s="35">
        <v>0.75</v>
      </c>
      <c r="M31" s="35">
        <v>1.6</v>
      </c>
      <c r="N31" s="35">
        <v>4.7</v>
      </c>
      <c r="O31" s="34">
        <v>1.3</v>
      </c>
      <c r="P31" s="12" t="s">
        <v>96</v>
      </c>
      <c r="Q31" s="13">
        <f>IF(AND(M18&lt;=7,M18&gt;6),M18,)</f>
        <v>0</v>
      </c>
      <c r="R31" s="53">
        <f t="shared" si="22"/>
        <v>-0.15000000000000013</v>
      </c>
      <c r="S31" s="53">
        <f t="shared" si="23"/>
        <v>0.28000000000000025</v>
      </c>
      <c r="T31" s="53">
        <f t="shared" si="24"/>
        <v>0.20000000000000018</v>
      </c>
      <c r="U31" s="53">
        <f t="shared" si="25"/>
        <v>-1.0999999999999994</v>
      </c>
      <c r="V31" s="53">
        <f t="shared" si="26"/>
        <v>-8.0000000000000071E-2</v>
      </c>
      <c r="W31" s="66">
        <f t="shared" si="27"/>
        <v>-8.0000000000000071E-2</v>
      </c>
      <c r="X31"/>
      <c r="AB31" s="129">
        <f t="shared" si="11"/>
        <v>9</v>
      </c>
      <c r="AC31" s="130">
        <f t="shared" si="11"/>
        <v>10</v>
      </c>
      <c r="AD31" s="130">
        <f t="shared" si="11"/>
        <v>24</v>
      </c>
      <c r="AE31" s="127"/>
      <c r="AF31" s="131">
        <f t="shared" si="28"/>
        <v>1.37</v>
      </c>
      <c r="AG31" s="130">
        <f t="shared" si="28"/>
        <v>32.880000000000003</v>
      </c>
      <c r="AH31" s="130">
        <f t="shared" si="28"/>
        <v>0.61699999999999999</v>
      </c>
      <c r="AI31" s="127" t="s">
        <v>63</v>
      </c>
      <c r="AJ31" s="132">
        <f>AM12</f>
        <v>20.286960000000001</v>
      </c>
      <c r="AL31" s="232"/>
      <c r="AM31" s="24">
        <f>IF(AN12=10,AM12,0)</f>
        <v>20.286960000000001</v>
      </c>
      <c r="AN31" s="24">
        <f>IF(AN12=12,AM12,0)</f>
        <v>0</v>
      </c>
      <c r="AO31" s="24">
        <f>IF(AN12=20,AM12,0)</f>
        <v>0</v>
      </c>
      <c r="AQ31" s="129">
        <v>9</v>
      </c>
      <c r="AR31" s="130">
        <f t="shared" si="16"/>
        <v>10</v>
      </c>
      <c r="AS31" s="130">
        <f t="shared" si="17"/>
        <v>48</v>
      </c>
      <c r="AT31" s="130"/>
      <c r="AU31" s="133">
        <f t="shared" si="18"/>
        <v>1.37</v>
      </c>
      <c r="AV31" s="133">
        <f t="shared" si="19"/>
        <v>65.760000000000005</v>
      </c>
      <c r="AW31" s="133">
        <f t="shared" si="20"/>
        <v>0.61699999999999999</v>
      </c>
      <c r="AX31" s="128" t="s">
        <v>63</v>
      </c>
      <c r="AY31" s="158">
        <f t="shared" si="29"/>
        <v>40.573920000000001</v>
      </c>
      <c r="BF31" s="230"/>
      <c r="BG31" s="24">
        <f>IF(BD13=10,BB13,0)</f>
        <v>0</v>
      </c>
      <c r="BH31" s="24">
        <f>IF(BD13=12,BB13,0)</f>
        <v>74.535999999999987</v>
      </c>
      <c r="BI31" s="24">
        <f>IF(BD13=20,BB13,0)</f>
        <v>0</v>
      </c>
    </row>
    <row r="32" spans="3:61" ht="37.200000000000003" customHeight="1" thickBot="1" x14ac:dyDescent="0.3">
      <c r="J32"/>
      <c r="K32" s="12">
        <v>7</v>
      </c>
      <c r="L32" s="13">
        <v>0.9</v>
      </c>
      <c r="M32" s="13">
        <v>1.82</v>
      </c>
      <c r="N32" s="13">
        <v>5.45</v>
      </c>
      <c r="O32" s="14">
        <v>1.7</v>
      </c>
      <c r="T32" s="2"/>
      <c r="U32" s="2"/>
      <c r="V32" s="2"/>
      <c r="W32" s="2"/>
      <c r="X32"/>
      <c r="AB32" s="159" t="s">
        <v>43</v>
      </c>
      <c r="AC32" s="160"/>
      <c r="AD32" s="160"/>
      <c r="AE32" s="160"/>
      <c r="AF32" s="160"/>
      <c r="AG32" s="160"/>
      <c r="AH32" s="160"/>
      <c r="AI32" s="133">
        <f>$AL$14</f>
        <v>129.62125415737418</v>
      </c>
      <c r="AJ32" s="128" t="s">
        <v>63</v>
      </c>
      <c r="AL32" s="233"/>
      <c r="AM32" s="24">
        <f>IF(AN13=10,AL13,0)</f>
        <v>0</v>
      </c>
      <c r="AN32" s="24">
        <f>IF(AN13=12,AL13,0)</f>
        <v>0</v>
      </c>
      <c r="AO32" s="24">
        <f>IF(AN13=20,AL13,0)</f>
        <v>0</v>
      </c>
      <c r="AQ32" s="129">
        <v>10</v>
      </c>
      <c r="AR32" s="130">
        <f t="shared" si="16"/>
        <v>14</v>
      </c>
      <c r="AS32" s="130">
        <f t="shared" si="17"/>
        <v>44</v>
      </c>
      <c r="AT32" s="130"/>
      <c r="AU32" s="133">
        <f t="shared" si="18"/>
        <v>1.4</v>
      </c>
      <c r="AV32" s="133">
        <f t="shared" si="19"/>
        <v>61.599999999999994</v>
      </c>
      <c r="AW32" s="133">
        <f t="shared" si="20"/>
        <v>1.21</v>
      </c>
      <c r="AX32" s="133">
        <f t="shared" ref="AX32:AX35" si="30">BB13</f>
        <v>74.535999999999987</v>
      </c>
      <c r="AY32" s="128" t="s">
        <v>63</v>
      </c>
      <c r="BF32" s="230"/>
      <c r="BG32" s="24">
        <f>IF(BD14=10,BB14,0)</f>
        <v>0</v>
      </c>
      <c r="BH32" s="24">
        <f>IF(BD14=12,BB14,0)</f>
        <v>74.535999999999987</v>
      </c>
      <c r="BI32" s="24">
        <f>IF(BD14=20,BB14,0)</f>
        <v>0</v>
      </c>
    </row>
    <row r="33" spans="4:68" ht="37.200000000000003" customHeight="1" thickBot="1" x14ac:dyDescent="0.3">
      <c r="J33"/>
      <c r="T33" s="2"/>
      <c r="U33" s="2"/>
      <c r="V33" s="2"/>
      <c r="W33" s="2"/>
      <c r="X33"/>
      <c r="AB33" s="159" t="s">
        <v>44</v>
      </c>
      <c r="AC33" s="160"/>
      <c r="AD33" s="160"/>
      <c r="AE33" s="160"/>
      <c r="AF33" s="160"/>
      <c r="AG33" s="160"/>
      <c r="AH33" s="160"/>
      <c r="AI33" s="160"/>
      <c r="AJ33" s="134">
        <f>AM15</f>
        <v>37.562960000000004</v>
      </c>
      <c r="AL33" s="55" t="s">
        <v>97</v>
      </c>
      <c r="AM33" s="68">
        <f>SUM(AM23:AM32)</f>
        <v>440.52431825354074</v>
      </c>
      <c r="AN33" s="68">
        <f>SUM(AN23:AN32)</f>
        <v>225.73368892897528</v>
      </c>
      <c r="AO33" s="68">
        <f>SUM(AO23:AO32)</f>
        <v>793.75920000000008</v>
      </c>
      <c r="AQ33" s="129">
        <v>11</v>
      </c>
      <c r="AR33" s="130">
        <f t="shared" si="16"/>
        <v>14</v>
      </c>
      <c r="AS33" s="130">
        <f t="shared" si="17"/>
        <v>44</v>
      </c>
      <c r="AT33" s="130"/>
      <c r="AU33" s="133">
        <f t="shared" si="18"/>
        <v>1.4</v>
      </c>
      <c r="AV33" s="133">
        <f t="shared" si="19"/>
        <v>61.599999999999994</v>
      </c>
      <c r="AW33" s="133">
        <f t="shared" si="20"/>
        <v>1.21</v>
      </c>
      <c r="AX33" s="133">
        <f t="shared" si="30"/>
        <v>74.535999999999987</v>
      </c>
      <c r="AY33" s="128" t="s">
        <v>63</v>
      </c>
      <c r="BF33" s="230"/>
      <c r="BG33" s="24">
        <f>IF(BD15=10,BB15,0)</f>
        <v>54.167306200944196</v>
      </c>
      <c r="BH33" s="24">
        <f>IF(BD15=12,BB15,0)</f>
        <v>0</v>
      </c>
      <c r="BI33" s="24">
        <f>IF(BD15=20,BB15,0)</f>
        <v>0</v>
      </c>
    </row>
    <row r="34" spans="4:68" ht="37.200000000000003" customHeight="1" thickBot="1" x14ac:dyDescent="0.3">
      <c r="K34" s="3" t="s">
        <v>84</v>
      </c>
      <c r="L34" s="4" t="s">
        <v>85</v>
      </c>
      <c r="M34" s="4" t="s">
        <v>86</v>
      </c>
      <c r="N34" s="4" t="s">
        <v>87</v>
      </c>
      <c r="O34" s="63" t="s">
        <v>15</v>
      </c>
      <c r="P34" s="3" t="s">
        <v>88</v>
      </c>
      <c r="Q34" s="4" t="s">
        <v>84</v>
      </c>
      <c r="R34" s="4" t="s">
        <v>85</v>
      </c>
      <c r="S34" s="4" t="s">
        <v>86</v>
      </c>
      <c r="T34" s="4" t="s">
        <v>87</v>
      </c>
      <c r="U34" s="4" t="s">
        <v>15</v>
      </c>
      <c r="V34" s="4" t="s">
        <v>89</v>
      </c>
      <c r="W34" s="6" t="s">
        <v>90</v>
      </c>
      <c r="AB34" s="161" t="s">
        <v>48</v>
      </c>
      <c r="AC34" s="162"/>
      <c r="AD34" s="162"/>
      <c r="AE34" s="162"/>
      <c r="AF34" s="162"/>
      <c r="AG34" s="162"/>
      <c r="AH34" s="162"/>
      <c r="AI34" s="162"/>
      <c r="AJ34" s="135">
        <f>AM16</f>
        <v>1460.0172071825159</v>
      </c>
      <c r="AQ34" s="129">
        <v>12</v>
      </c>
      <c r="AR34" s="130">
        <f t="shared" si="16"/>
        <v>10</v>
      </c>
      <c r="AS34" s="130">
        <f t="shared" si="17"/>
        <v>8</v>
      </c>
      <c r="AT34" s="130"/>
      <c r="AU34" s="133">
        <f t="shared" si="18"/>
        <v>10.973927512346879</v>
      </c>
      <c r="AV34" s="133">
        <f t="shared" si="19"/>
        <v>87.791420098775035</v>
      </c>
      <c r="AW34" s="133">
        <f t="shared" si="20"/>
        <v>0.61699999999999999</v>
      </c>
      <c r="AX34" s="133">
        <f t="shared" si="30"/>
        <v>54.167306200944196</v>
      </c>
      <c r="AY34" s="128" t="s">
        <v>63</v>
      </c>
      <c r="BF34" s="230"/>
      <c r="BG34" s="67">
        <f>IF(BD16=10,BB16,0)</f>
        <v>32.873759999999997</v>
      </c>
      <c r="BH34" s="67">
        <f>IF(BD16=12,BB16,0)</f>
        <v>0</v>
      </c>
      <c r="BI34" s="67">
        <f>IF(BD16=20,BB16,0)</f>
        <v>0</v>
      </c>
    </row>
    <row r="35" spans="4:68" ht="33.6" customHeight="1" x14ac:dyDescent="0.25">
      <c r="K35" s="27">
        <v>1</v>
      </c>
      <c r="L35" s="35">
        <v>0</v>
      </c>
      <c r="M35" s="35">
        <v>0.17</v>
      </c>
      <c r="N35" s="35">
        <v>0.85</v>
      </c>
      <c r="O35" s="34">
        <v>0.8</v>
      </c>
      <c r="P35" s="64" t="s">
        <v>91</v>
      </c>
      <c r="Q35" s="35">
        <f>IF(AND(M20&lt;=2,M20&gt;=1),M20,)</f>
        <v>0</v>
      </c>
      <c r="R35" s="37">
        <f t="shared" ref="R35:R40" si="31">(L36-L35)*(Q35-K35)/(K36-K35)+L35</f>
        <v>-0.15</v>
      </c>
      <c r="S35" s="37">
        <f t="shared" ref="S35:S40" si="32">(M36-M35)*(Q35-K35)/(K36-K35)+M35</f>
        <v>-0.09</v>
      </c>
      <c r="T35" s="37">
        <f t="shared" ref="T35:T40" si="33">(N36-N35)*(Q35-K35)/(K36-K35)+N35</f>
        <v>9.9999999999999867E-2</v>
      </c>
      <c r="U35" s="35">
        <f t="shared" ref="U35:U40" si="34">(O36-O35)*(Q35-K35)/(K36-K35)+O35</f>
        <v>0.8</v>
      </c>
      <c r="V35" s="37">
        <f t="shared" ref="V35:V40" si="35">T35-S35</f>
        <v>0.18999999999999986</v>
      </c>
      <c r="W35" s="65">
        <f t="shared" ref="W35:W40" si="36">T35-S35-(Q35/3)</f>
        <v>0.18999999999999986</v>
      </c>
      <c r="AQ35" s="129">
        <v>13</v>
      </c>
      <c r="AR35" s="130">
        <f t="shared" si="16"/>
        <v>10</v>
      </c>
      <c r="AS35" s="130">
        <f t="shared" si="17"/>
        <v>37</v>
      </c>
      <c r="AT35" s="130"/>
      <c r="AU35" s="133">
        <f t="shared" si="18"/>
        <v>1.44</v>
      </c>
      <c r="AV35" s="133">
        <f t="shared" si="19"/>
        <v>53.28</v>
      </c>
      <c r="AW35" s="133">
        <f t="shared" si="20"/>
        <v>0.61699999999999999</v>
      </c>
      <c r="AX35" s="133">
        <f t="shared" si="30"/>
        <v>32.873759999999997</v>
      </c>
      <c r="AY35" s="128" t="s">
        <v>63</v>
      </c>
      <c r="BF35" s="55" t="s">
        <v>97</v>
      </c>
      <c r="BG35" s="68">
        <f>SUM(BG22:BG34)</f>
        <v>750.84498957751418</v>
      </c>
      <c r="BH35" s="68">
        <f>SUM(BH22:BH34)</f>
        <v>600.53937785795051</v>
      </c>
      <c r="BI35" s="68">
        <f t="shared" ref="BI35" si="37">SUM(BI22:BI34)</f>
        <v>1587.5184000000002</v>
      </c>
    </row>
    <row r="36" spans="4:68" ht="27.6" x14ac:dyDescent="0.25">
      <c r="K36" s="27">
        <v>2</v>
      </c>
      <c r="L36" s="35">
        <v>0.15</v>
      </c>
      <c r="M36" s="35">
        <v>0.43</v>
      </c>
      <c r="N36" s="35">
        <v>1.6</v>
      </c>
      <c r="O36" s="34">
        <v>0.8</v>
      </c>
      <c r="P36" s="27" t="s">
        <v>92</v>
      </c>
      <c r="Q36" s="35">
        <f>IF(AND(M20&lt;=3,M20&gt;2),M20,)</f>
        <v>2.3530202852439981</v>
      </c>
      <c r="R36" s="37">
        <f t="shared" si="31"/>
        <v>0.2029530427865997</v>
      </c>
      <c r="S36" s="37">
        <f t="shared" si="32"/>
        <v>0.54296649127807939</v>
      </c>
      <c r="T36" s="37">
        <f t="shared" si="33"/>
        <v>1.8824162281951984</v>
      </c>
      <c r="U36" s="37">
        <f t="shared" si="34"/>
        <v>0.8</v>
      </c>
      <c r="V36" s="37">
        <f t="shared" si="35"/>
        <v>1.339449736917119</v>
      </c>
      <c r="W36" s="65">
        <f t="shared" si="36"/>
        <v>0.55510964183578626</v>
      </c>
      <c r="AQ36" s="159" t="s">
        <v>43</v>
      </c>
      <c r="AR36" s="160"/>
      <c r="AS36" s="160"/>
      <c r="AT36" s="160"/>
      <c r="AU36" s="160"/>
      <c r="AV36" s="160"/>
      <c r="AW36" s="160"/>
      <c r="AX36" s="133">
        <f>$BB$17</f>
        <v>261.00886714819677</v>
      </c>
      <c r="AY36" s="128" t="s">
        <v>63</v>
      </c>
    </row>
    <row r="37" spans="4:68" ht="27.6" x14ac:dyDescent="0.25">
      <c r="K37" s="27">
        <v>3</v>
      </c>
      <c r="L37" s="35">
        <v>0.3</v>
      </c>
      <c r="M37" s="35">
        <v>0.75</v>
      </c>
      <c r="N37" s="35">
        <v>2.4</v>
      </c>
      <c r="O37" s="34">
        <v>0.8</v>
      </c>
      <c r="P37" s="27" t="s">
        <v>93</v>
      </c>
      <c r="Q37" s="35">
        <f>IF(AND(M20&lt;=4,M20&gt;3),M20,)</f>
        <v>0</v>
      </c>
      <c r="R37" s="37">
        <f t="shared" si="31"/>
        <v>-0.15000000000000008</v>
      </c>
      <c r="S37" s="37">
        <f t="shared" si="32"/>
        <v>-6.0000000000000053E-2</v>
      </c>
      <c r="T37" s="37">
        <f t="shared" si="33"/>
        <v>0.14999999999999991</v>
      </c>
      <c r="U37" s="37">
        <f t="shared" si="34"/>
        <v>0.8</v>
      </c>
      <c r="V37" s="37">
        <f t="shared" si="35"/>
        <v>0.20999999999999996</v>
      </c>
      <c r="W37" s="65">
        <f t="shared" si="36"/>
        <v>0.20999999999999996</v>
      </c>
      <c r="AQ37" s="159" t="s">
        <v>44</v>
      </c>
      <c r="AR37" s="160"/>
      <c r="AS37" s="160"/>
      <c r="AT37" s="160"/>
      <c r="AU37" s="160"/>
      <c r="AV37" s="160"/>
      <c r="AW37" s="160"/>
      <c r="AX37" s="160"/>
      <c r="AY37" s="134">
        <f t="shared" ref="AY37:AY38" si="38">BC18</f>
        <v>74.610379271377042</v>
      </c>
    </row>
    <row r="38" spans="4:68" ht="28.2" thickBot="1" x14ac:dyDescent="0.3">
      <c r="K38" s="27">
        <v>4</v>
      </c>
      <c r="L38" s="35">
        <v>0.45</v>
      </c>
      <c r="M38" s="35">
        <v>1.02</v>
      </c>
      <c r="N38" s="35">
        <v>3.15</v>
      </c>
      <c r="O38" s="34">
        <v>0.8</v>
      </c>
      <c r="P38" s="27" t="s">
        <v>94</v>
      </c>
      <c r="Q38" s="35">
        <f>IF(AND(M20&lt;=5,M20&gt;4),M20,)</f>
        <v>0</v>
      </c>
      <c r="R38" s="37">
        <f t="shared" si="31"/>
        <v>-0.14999999999999986</v>
      </c>
      <c r="S38" s="37">
        <f t="shared" si="32"/>
        <v>-2.0000000000000018E-2</v>
      </c>
      <c r="T38" s="37">
        <f t="shared" si="33"/>
        <v>0.14999999999999991</v>
      </c>
      <c r="U38" s="37">
        <f t="shared" si="34"/>
        <v>0</v>
      </c>
      <c r="V38" s="37">
        <f t="shared" si="35"/>
        <v>0.16999999999999993</v>
      </c>
      <c r="W38" s="65">
        <f t="shared" si="36"/>
        <v>0.16999999999999993</v>
      </c>
      <c r="AQ38" s="161" t="s">
        <v>48</v>
      </c>
      <c r="AR38" s="162"/>
      <c r="AS38" s="162"/>
      <c r="AT38" s="162"/>
      <c r="AU38" s="162"/>
      <c r="AV38" s="162"/>
      <c r="AW38" s="162"/>
      <c r="AX38" s="162"/>
      <c r="AY38" s="135">
        <f t="shared" si="38"/>
        <v>2938.9027674354652</v>
      </c>
    </row>
    <row r="39" spans="4:68" x14ac:dyDescent="0.25">
      <c r="K39" s="27">
        <v>5</v>
      </c>
      <c r="L39" s="35">
        <v>0.6</v>
      </c>
      <c r="M39" s="35">
        <v>1.28</v>
      </c>
      <c r="N39" s="35">
        <v>3.9</v>
      </c>
      <c r="O39" s="34">
        <v>1</v>
      </c>
      <c r="P39" s="27" t="s">
        <v>95</v>
      </c>
      <c r="Q39" s="35">
        <f>IF(AND(M20&lt;=6,M20&gt;5),M20,)</f>
        <v>0</v>
      </c>
      <c r="R39" s="37">
        <f t="shared" si="31"/>
        <v>-0.15000000000000013</v>
      </c>
      <c r="S39" s="37">
        <f t="shared" si="32"/>
        <v>-0.32000000000000028</v>
      </c>
      <c r="T39" s="37">
        <f t="shared" si="33"/>
        <v>-0.10000000000000187</v>
      </c>
      <c r="U39" s="37">
        <f t="shared" si="34"/>
        <v>-0.50000000000000022</v>
      </c>
      <c r="V39" s="37">
        <f t="shared" si="35"/>
        <v>0.21999999999999842</v>
      </c>
      <c r="W39" s="65">
        <f t="shared" si="36"/>
        <v>0.21999999999999842</v>
      </c>
    </row>
    <row r="40" spans="4:68" ht="14.4" thickBot="1" x14ac:dyDescent="0.3">
      <c r="K40" s="27">
        <v>6</v>
      </c>
      <c r="L40" s="35">
        <v>0.75</v>
      </c>
      <c r="M40" s="35">
        <v>1.6</v>
      </c>
      <c r="N40" s="35">
        <v>4.7</v>
      </c>
      <c r="O40" s="34">
        <v>1.3</v>
      </c>
      <c r="P40" s="12" t="s">
        <v>96</v>
      </c>
      <c r="Q40" s="13">
        <f>IF(AND(M20&lt;=7,M20&gt;6),M20,)</f>
        <v>0</v>
      </c>
      <c r="R40" s="53">
        <f t="shared" si="31"/>
        <v>-0.15000000000000013</v>
      </c>
      <c r="S40" s="53">
        <f t="shared" si="32"/>
        <v>0.28000000000000025</v>
      </c>
      <c r="T40" s="53">
        <f t="shared" si="33"/>
        <v>0.20000000000000018</v>
      </c>
      <c r="U40" s="53">
        <f t="shared" si="34"/>
        <v>-1.0999999999999994</v>
      </c>
      <c r="V40" s="53">
        <f t="shared" si="35"/>
        <v>-8.0000000000000071E-2</v>
      </c>
      <c r="W40" s="66">
        <f t="shared" si="36"/>
        <v>-8.0000000000000071E-2</v>
      </c>
    </row>
    <row r="41" spans="4:68" ht="14.4" thickBot="1" x14ac:dyDescent="0.3">
      <c r="K41" s="12">
        <v>7</v>
      </c>
      <c r="L41" s="13">
        <v>0.9</v>
      </c>
      <c r="M41" s="13">
        <v>1.82</v>
      </c>
      <c r="N41" s="13">
        <v>5.45</v>
      </c>
      <c r="O41" s="14">
        <v>1.7</v>
      </c>
      <c r="T41" s="2"/>
      <c r="U41" s="2"/>
      <c r="V41" s="2"/>
      <c r="W41" s="2"/>
    </row>
    <row r="43" spans="4:68" ht="14.4" thickBot="1" x14ac:dyDescent="0.3"/>
    <row r="44" spans="4:68" ht="21" customHeight="1" thickBot="1" x14ac:dyDescent="0.3">
      <c r="D44" s="221" t="s">
        <v>2</v>
      </c>
      <c r="E44" s="223" t="s">
        <v>98</v>
      </c>
      <c r="F44" s="223" t="s">
        <v>99</v>
      </c>
      <c r="G44" s="223" t="s">
        <v>100</v>
      </c>
      <c r="H44" s="223"/>
      <c r="I44" s="223" t="s">
        <v>101</v>
      </c>
      <c r="J44" s="219" t="s">
        <v>102</v>
      </c>
      <c r="K44" s="219" t="s">
        <v>103</v>
      </c>
      <c r="L44" s="217" t="s">
        <v>87</v>
      </c>
      <c r="M44" s="217" t="s">
        <v>15</v>
      </c>
      <c r="N44" s="217" t="s">
        <v>104</v>
      </c>
      <c r="O44" s="217" t="s">
        <v>105</v>
      </c>
      <c r="P44" s="217" t="s">
        <v>106</v>
      </c>
      <c r="Q44" s="217" t="s">
        <v>107</v>
      </c>
      <c r="R44" s="217" t="s">
        <v>108</v>
      </c>
      <c r="S44" s="217" t="s">
        <v>39</v>
      </c>
      <c r="T44" s="217" t="s">
        <v>109</v>
      </c>
      <c r="U44" s="217" t="s">
        <v>110</v>
      </c>
      <c r="V44" s="208" t="s">
        <v>111</v>
      </c>
      <c r="W44" s="208" t="s">
        <v>112</v>
      </c>
      <c r="X44" s="208" t="s">
        <v>113</v>
      </c>
      <c r="Y44" s="208" t="s">
        <v>114</v>
      </c>
      <c r="Z44" s="208" t="s">
        <v>115</v>
      </c>
      <c r="AA44" s="208" t="s">
        <v>116</v>
      </c>
      <c r="AB44" s="208" t="s">
        <v>117</v>
      </c>
      <c r="AC44" s="208" t="s">
        <v>118</v>
      </c>
      <c r="AD44" s="208" t="s">
        <v>119</v>
      </c>
      <c r="AE44" s="208" t="s">
        <v>120</v>
      </c>
      <c r="AF44" s="208" t="s">
        <v>121</v>
      </c>
      <c r="AG44" s="208" t="s">
        <v>122</v>
      </c>
      <c r="AH44" s="208" t="s">
        <v>123</v>
      </c>
      <c r="AI44" s="206" t="s">
        <v>124</v>
      </c>
      <c r="AJ44" s="208" t="s">
        <v>125</v>
      </c>
      <c r="AK44" s="210" t="s">
        <v>126</v>
      </c>
      <c r="AL44" s="211"/>
      <c r="AM44" s="211"/>
      <c r="AN44" s="211"/>
      <c r="AO44" s="211"/>
      <c r="AP44" s="211"/>
      <c r="AQ44" s="211"/>
      <c r="AR44" s="211"/>
      <c r="AS44" s="211"/>
      <c r="AT44" s="211"/>
      <c r="AU44" s="211"/>
      <c r="AV44" s="211"/>
      <c r="AW44" s="211"/>
      <c r="AX44" s="212"/>
      <c r="AY44" s="202" t="s">
        <v>111</v>
      </c>
      <c r="AZ44" s="202" t="s">
        <v>112</v>
      </c>
      <c r="BA44" s="202" t="s">
        <v>113</v>
      </c>
      <c r="BB44" s="202" t="s">
        <v>114</v>
      </c>
      <c r="BC44" s="202" t="s">
        <v>115</v>
      </c>
      <c r="BD44" s="202" t="s">
        <v>120</v>
      </c>
      <c r="BE44" s="202" t="s">
        <v>121</v>
      </c>
      <c r="BF44" s="202" t="s">
        <v>125</v>
      </c>
      <c r="BG44" s="204" t="s">
        <v>127</v>
      </c>
    </row>
    <row r="45" spans="4:68" ht="21" x14ac:dyDescent="0.25">
      <c r="D45" s="222"/>
      <c r="E45" s="224"/>
      <c r="F45" s="224"/>
      <c r="G45" s="224" t="s">
        <v>128</v>
      </c>
      <c r="H45" s="224" t="s">
        <v>102</v>
      </c>
      <c r="I45" s="224"/>
      <c r="J45" s="220"/>
      <c r="K45" s="220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09"/>
      <c r="W45" s="209"/>
      <c r="X45" s="209"/>
      <c r="Y45" s="209"/>
      <c r="Z45" s="209"/>
      <c r="AA45" s="209"/>
      <c r="AB45" s="209"/>
      <c r="AC45" s="209"/>
      <c r="AD45" s="209"/>
      <c r="AE45" s="209"/>
      <c r="AF45" s="209"/>
      <c r="AG45" s="209"/>
      <c r="AH45" s="209"/>
      <c r="AI45" s="207"/>
      <c r="AJ45" s="209"/>
      <c r="AK45" s="213" t="s">
        <v>14</v>
      </c>
      <c r="AL45" s="214"/>
      <c r="AM45" s="214"/>
      <c r="AN45" s="214"/>
      <c r="AO45" s="214"/>
      <c r="AP45" s="214"/>
      <c r="AQ45" s="215"/>
      <c r="AR45" s="216" t="s">
        <v>13</v>
      </c>
      <c r="AS45" s="216"/>
      <c r="AT45" s="216"/>
      <c r="AU45" s="216"/>
      <c r="AV45" s="216"/>
      <c r="AW45" s="216"/>
      <c r="AX45" s="216"/>
      <c r="AY45" s="203"/>
      <c r="AZ45" s="203"/>
      <c r="BA45" s="203"/>
      <c r="BB45" s="203"/>
      <c r="BC45" s="203"/>
      <c r="BD45" s="203"/>
      <c r="BE45" s="203"/>
      <c r="BF45" s="203"/>
      <c r="BG45" s="205"/>
      <c r="BJ45" s="199" t="s">
        <v>13</v>
      </c>
      <c r="BK45" s="200"/>
      <c r="BL45" s="200"/>
      <c r="BM45" s="200"/>
      <c r="BN45" s="200"/>
      <c r="BO45" s="200"/>
      <c r="BP45" s="201"/>
    </row>
    <row r="46" spans="4:68" ht="21" x14ac:dyDescent="0.25">
      <c r="D46" s="222"/>
      <c r="E46" s="224"/>
      <c r="F46" s="224"/>
      <c r="G46" s="224"/>
      <c r="H46" s="224"/>
      <c r="I46" s="224"/>
      <c r="J46" s="220"/>
      <c r="K46" s="220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7"/>
      <c r="AJ46" s="209"/>
      <c r="AK46" s="69" t="s">
        <v>129</v>
      </c>
      <c r="AL46" s="69" t="s">
        <v>130</v>
      </c>
      <c r="AM46" s="69" t="s">
        <v>131</v>
      </c>
      <c r="AN46" s="69" t="s">
        <v>87</v>
      </c>
      <c r="AO46" s="69" t="s">
        <v>89</v>
      </c>
      <c r="AP46" s="69" t="s">
        <v>90</v>
      </c>
      <c r="AQ46" s="69" t="s">
        <v>15</v>
      </c>
      <c r="AR46" s="70" t="s">
        <v>132</v>
      </c>
      <c r="AS46" s="70" t="s">
        <v>130</v>
      </c>
      <c r="AT46" s="70" t="s">
        <v>131</v>
      </c>
      <c r="AU46" s="70" t="s">
        <v>87</v>
      </c>
      <c r="AV46" s="70" t="s">
        <v>89</v>
      </c>
      <c r="AW46" s="70" t="s">
        <v>90</v>
      </c>
      <c r="AX46" s="70" t="s">
        <v>15</v>
      </c>
      <c r="AY46" s="203"/>
      <c r="AZ46" s="203"/>
      <c r="BA46" s="203"/>
      <c r="BB46" s="203"/>
      <c r="BC46" s="203"/>
      <c r="BD46" s="203"/>
      <c r="BE46" s="203"/>
      <c r="BF46" s="203"/>
      <c r="BG46" s="205"/>
      <c r="BJ46" s="71" t="s">
        <v>132</v>
      </c>
      <c r="BK46" s="72" t="s">
        <v>130</v>
      </c>
      <c r="BL46" s="72" t="s">
        <v>131</v>
      </c>
      <c r="BM46" s="72" t="s">
        <v>87</v>
      </c>
      <c r="BN46" s="72" t="s">
        <v>89</v>
      </c>
      <c r="BO46" s="72" t="s">
        <v>90</v>
      </c>
      <c r="BP46" s="73" t="s">
        <v>15</v>
      </c>
    </row>
    <row r="47" spans="4:68" ht="15.6" thickBot="1" x14ac:dyDescent="0.3">
      <c r="D47" s="74">
        <f>D3</f>
        <v>975</v>
      </c>
      <c r="E47" s="75">
        <f>E3</f>
        <v>2</v>
      </c>
      <c r="F47" s="75">
        <f>F3</f>
        <v>3</v>
      </c>
      <c r="G47" s="75">
        <f>P3</f>
        <v>-2</v>
      </c>
      <c r="H47" s="75">
        <f>O3</f>
        <v>-0.5</v>
      </c>
      <c r="I47" s="75">
        <f>T3</f>
        <v>0.3</v>
      </c>
      <c r="J47" s="76">
        <f>F18+H18</f>
        <v>10.973927512346879</v>
      </c>
      <c r="K47" s="76">
        <f>M11-0.3</f>
        <v>1.5337500000000028</v>
      </c>
      <c r="L47" s="77">
        <v>1.8</v>
      </c>
      <c r="M47" s="77">
        <v>0.8</v>
      </c>
      <c r="N47" s="77">
        <v>1.1000000000000001</v>
      </c>
      <c r="O47" s="77">
        <v>0.55000000000000004</v>
      </c>
      <c r="P47" s="77">
        <v>0.3</v>
      </c>
      <c r="Q47" s="77">
        <v>0.25</v>
      </c>
      <c r="R47" s="77"/>
      <c r="S47" s="77"/>
      <c r="T47" s="77"/>
      <c r="U47" s="77">
        <v>0.01</v>
      </c>
      <c r="V47" s="78">
        <f>L47*M47*J47*2+T47*M47*(E47-1)*J47</f>
        <v>31.604911235559015</v>
      </c>
      <c r="W47" s="78">
        <f>(L47+2*M47)*J47*2+(T47+2*M47)*(E47-1)*J47+(N47+O47)*K47*0.5*4+(R47+S47)*K47*0.5*2*(E47-1)</f>
        <v>97.242366103713806</v>
      </c>
      <c r="X47" s="78">
        <f>(L47+0.06)*M47*(J47+0.06)*2+(T47+0.06)*M47*(E47-1)*(J47+0.06)</f>
        <v>33.366596797336975</v>
      </c>
      <c r="Y47" s="78">
        <f>2*(((N47-O47)^2+(K47^2))^0.5)*J47+2*K47*J47+2*SQRT(((R47-S47)/2)^2+K47^2)*(E47-1)*J47+4*(N47+O47)*0.5*K47+(R47+S47)*0.5*K47*2*(E47-1)</f>
        <v>108.14788283764805</v>
      </c>
      <c r="Z47" s="78">
        <f>(N47+O47)*0.5*K47*J47*2+(R47+S47)*0.5*K47*J47*(E47-1)</f>
        <v>27.771581181402397</v>
      </c>
      <c r="AA47" s="78">
        <f>4*(0.3+I47)*J47+2*0.3*(E47-1)*J47+(4*(0.3*O47+I47*Q47)+2*(E47-1)*0.3*S47)</f>
        <v>33.881782537040642</v>
      </c>
      <c r="AB47" s="78">
        <f>2*((0.3+I47)*Q47+0.3*P47)*J47+0.3*(E47-1)*J47*S47</f>
        <v>5.2674852059265023</v>
      </c>
      <c r="AC47" s="78">
        <f>E47*(F47*COS(G4))*J47+2*I47*(E47*(F47*COS(G4))+2*P47+(E47-1)*S47)</f>
        <v>67.43733297464064</v>
      </c>
      <c r="AD47" s="78">
        <f>E47*(F47*COS(G4))*J47*I47+I47*(2*P47+(E47-1)*S47)*J47</f>
        <v>21.055306952222438</v>
      </c>
      <c r="AE47" s="78">
        <f>(F47*E47+2*P47+(E47-1)*S47)*4*0.4+4*0.4*0.35</f>
        <v>11.120000000000001</v>
      </c>
      <c r="AF47" s="78">
        <f>(F47*E47+2*P47+(E47-1)*S47)*2*0.4*0.35</f>
        <v>1.8479999999999999</v>
      </c>
      <c r="AG47" s="78">
        <f>J47*2*SQRT((N47-O47)^2+K47^2)</f>
        <v>35.761462549399795</v>
      </c>
      <c r="AH47" s="78">
        <f>(E47*(F47*COS(G4))+(P47+Q47)*2+S47*(E47-1))*J47</f>
        <v>75.671320263581563</v>
      </c>
      <c r="AI47" s="78">
        <f>(2+(E47-1))*J47*U47*I47*10^3</f>
        <v>98.765347611121939</v>
      </c>
      <c r="AJ47" s="78">
        <f>2*0.5*J47*SQRT((N47-O47)^2+K47^2)</f>
        <v>17.880731274699897</v>
      </c>
      <c r="AK47" s="79">
        <f>M18</f>
        <v>1.9144797147560042</v>
      </c>
      <c r="AL47" s="79">
        <f>F22</f>
        <v>4.0999999999999996</v>
      </c>
      <c r="AM47" s="79">
        <f>F23</f>
        <v>3</v>
      </c>
      <c r="AN47" s="79">
        <f>U18</f>
        <v>1.5358597860670034</v>
      </c>
      <c r="AO47" s="79">
        <f>V18</f>
        <v>1.1280950602304423</v>
      </c>
      <c r="AP47" s="79">
        <f>X18</f>
        <v>0.48993515531177423</v>
      </c>
      <c r="AQ47" s="79">
        <f>S18</f>
        <v>0.8</v>
      </c>
      <c r="AR47" s="80">
        <f>M20</f>
        <v>2.3530202852439981</v>
      </c>
      <c r="AS47" s="80">
        <f>F24</f>
        <v>5.8</v>
      </c>
      <c r="AT47" s="80">
        <f>F25</f>
        <v>4</v>
      </c>
      <c r="AU47" s="80">
        <f>U20</f>
        <v>1.8824162281951984</v>
      </c>
      <c r="AV47" s="80">
        <f>V20</f>
        <v>1.339449736917119</v>
      </c>
      <c r="AW47" s="80">
        <f>X20</f>
        <v>0.55510964183578626</v>
      </c>
      <c r="AX47" s="80">
        <f>S20</f>
        <v>0.8</v>
      </c>
      <c r="AY47" s="81">
        <f>(AN47+0.85)*0.5*AL47*AQ47+(AU47+0.85)*0.5*AS47*AX47+(AN47+0.85)*0.5*AM47*AQ47+(AU47+0.85)*0.5*AT47*AX47</f>
        <v>17.48691340695547</v>
      </c>
      <c r="AZ47" s="82">
        <f>2*AQ47*AL47+(AN47+0.85)/2*AL47+(AN47+0.85)*AQ47+2*AX47*AS47+(AU47+0.85)/2*AS47+(AU47+0.85)*AX47+2*AQ47*AM47+(AN47+0.85)/2*AM47+(AN47+0.85)*AQ47+2*AX47*AT47+(AU47+0.85)/2*AT47+(AU47+0.85)*AX47</f>
        <v>57.087883381513855</v>
      </c>
      <c r="BA47" s="82">
        <f>((AN47+0.85)*0.5+0.06)*(AL47+0.06)*AQ47+((AU47+0.85)*0.5+0.06)*(AS47+0.06)*AX47+((AN47+0.85)*0.5+0.06)*(AM47+0.06)*AQ47+((AU47+0.85)*0.5+0.06)*(AT47+0.06)*AX47</f>
        <v>18.555310655640049</v>
      </c>
      <c r="BB47" s="82">
        <f>(AK47+1)*0.5*AL47+(AR47+1)*0.5*AS47+(AK47+1)*0.5*AM47+(AR47+1)*0.5*AT47+2*((AO47+AP47)*AK47/2+(0.68+0.35)*1/2)+2*((AV47+AW47)*AR47/2+(0.68+0.35)*1/2)+(SQRT((0.68-0.35)^2+1)+SQRT((AO47-AP47)^2+AK47^2))*AL47/2+(SQRT((0.68-0.35)^2+1)+SQRT((AO47-AP47)^2+AK47^2))*AM47/2+(SQRT((0.68-0.35)^2+1)+SQRT((AV47-AW47)^2+AR47^2))*AS47/2+(SQRT((0.68-0.35)^2+1)+SQRT((AV47-AW47)^2+AR47^2))*AT47/2</f>
        <v>64.60755364238814</v>
      </c>
      <c r="BC47" s="82">
        <f>((AK47+1)/2*((AO47+AP47)/2+(0.68+0.35)/2)*0.5)*AL47+((AR47+1)/2*((AV47+AW47)/2+(0.68+0.35)/2)*0.5)*AS47+((AK47+1)/2*((AO47+AP47)/2+(0.68+0.35)/2)*0.5)*AM47+((AR47+1)/2*((AV47+AW47)/2+(0.68+0.35)/2)*0.5)*AT47</f>
        <v>18.861877913082019</v>
      </c>
      <c r="BD47" s="82">
        <f>2*0.2*(AS47+AL47+AM47+AT47)+4*(2*0.35*0.2)</f>
        <v>7.3199999999999994</v>
      </c>
      <c r="BE47" s="82">
        <f>0.2*0.35*(AS47+AL47+AM47+AT47)</f>
        <v>1.1829999999999998</v>
      </c>
      <c r="BF47" s="82">
        <f>0.5*AL47*(SQRT((AO47-AP47)^2+AK47^2)+SQRT((0.68-0.35)^2+1^2))/2+0.5*AS47*(SQRT((AV47-AW47)^2+AR47^2)+SQRT((0.68-0.35)^2+1^2))/2+0.5*AM47*(SQRT((AO47-AP47)^2+AK47^2)+SQRT((0.68-0.35)^2+1^2))/2+0.5*AT47*(SQRT((AV47-AW47)^2+AR47^2)+SQRT((0.68-0.35)^2+1^2))/2</f>
        <v>14.107864290993014</v>
      </c>
      <c r="BG47" s="83">
        <f>AL47*(SQRT((AO47-AP47)^2+AK47^2)+SQRT((0.68-0.35)^2+1^2))/2+AS47*(SQRT((AV47-AW47)^2+AR47^2)+SQRT((0.68-0.35)^2+1^2))/2+AM47*(SQRT((AO47-AP47)^2+AK47^2)+SQRT((0.68-0.35)^2+1^2))/2+AT47*(SQRT((AV47-AW47)^2+AR47^2)+SQRT((0.68-0.35)^2+1^2))/2</f>
        <v>28.215728581986028</v>
      </c>
      <c r="BJ47" s="84">
        <f t="shared" ref="BJ47:BP47" si="39">AR47</f>
        <v>2.3530202852439981</v>
      </c>
      <c r="BK47" s="85">
        <f t="shared" si="39"/>
        <v>5.8</v>
      </c>
      <c r="BL47" s="85">
        <f t="shared" si="39"/>
        <v>4</v>
      </c>
      <c r="BM47" s="85">
        <f t="shared" si="39"/>
        <v>1.8824162281951984</v>
      </c>
      <c r="BN47" s="85">
        <f t="shared" si="39"/>
        <v>1.339449736917119</v>
      </c>
      <c r="BO47" s="85">
        <f t="shared" si="39"/>
        <v>0.55510964183578626</v>
      </c>
      <c r="BP47" s="86">
        <f t="shared" si="39"/>
        <v>0.8</v>
      </c>
    </row>
    <row r="49" spans="10:71" ht="14.4" thickBot="1" x14ac:dyDescent="0.3">
      <c r="W49" s="87"/>
      <c r="X49" s="196" t="s">
        <v>114</v>
      </c>
      <c r="Y49" s="196"/>
      <c r="AH49" s="88"/>
      <c r="AI49" s="88"/>
      <c r="AJ49" s="88"/>
      <c r="AK49" s="88"/>
      <c r="AL49" s="88"/>
      <c r="AM49" s="88"/>
      <c r="AN49" s="88"/>
      <c r="AO49" s="89"/>
      <c r="AP49" s="89"/>
      <c r="AQ49" s="90"/>
      <c r="AR49" s="168" t="s">
        <v>114</v>
      </c>
      <c r="AS49" s="169"/>
      <c r="AW49" s="90"/>
      <c r="AX49" s="168" t="s">
        <v>114</v>
      </c>
      <c r="AY49" s="169"/>
      <c r="BD49" s="90"/>
      <c r="BE49" s="168" t="s">
        <v>114</v>
      </c>
      <c r="BF49" s="169"/>
      <c r="BH49" s="88"/>
      <c r="BI49" s="88"/>
      <c r="BJ49" s="88"/>
      <c r="BK49" s="88"/>
      <c r="BL49" s="88"/>
      <c r="BM49" s="88"/>
      <c r="BN49" s="89"/>
      <c r="BO49" s="89"/>
      <c r="BP49" s="90"/>
      <c r="BQ49" s="168" t="s">
        <v>114</v>
      </c>
      <c r="BR49" s="169"/>
      <c r="BS49" s="89"/>
    </row>
    <row r="50" spans="10:71" x14ac:dyDescent="0.25">
      <c r="J50" s="193" t="s">
        <v>133</v>
      </c>
      <c r="K50" s="194"/>
      <c r="L50" s="91"/>
      <c r="M50" s="92">
        <f>S47</f>
        <v>0</v>
      </c>
      <c r="N50" s="91"/>
      <c r="O50" s="93" t="s">
        <v>134</v>
      </c>
      <c r="Q50" s="193" t="s">
        <v>133</v>
      </c>
      <c r="R50" s="194"/>
      <c r="S50" s="91"/>
      <c r="T50" s="92">
        <f>O47</f>
        <v>0.55000000000000004</v>
      </c>
      <c r="U50" s="93" t="s">
        <v>134</v>
      </c>
      <c r="W50" s="195" t="str">
        <f>IF(AND(3&lt;K47,K47&lt;=5),"OK","NG")</f>
        <v>NG</v>
      </c>
      <c r="X50" s="21" t="s">
        <v>135</v>
      </c>
      <c r="Y50" s="29">
        <f>2*Q54*J47+2*U54*J47+2*J54*J47*(E47-1)+4*(N47+T54)*U54*0.5+2*(R47+M54)*O54*0.5*(E47-1)</f>
        <v>140.35534844355055</v>
      </c>
      <c r="AH50" s="88"/>
      <c r="AI50" s="88"/>
      <c r="AJ50" s="172" t="s">
        <v>136</v>
      </c>
      <c r="AK50" s="175" t="s">
        <v>133</v>
      </c>
      <c r="AL50" s="176"/>
      <c r="AM50" s="94"/>
      <c r="AN50" s="95">
        <f>AP47</f>
        <v>0.48993515531177423</v>
      </c>
      <c r="AO50" s="96" t="s">
        <v>134</v>
      </c>
      <c r="AP50" s="89"/>
      <c r="AQ50" s="177" t="str">
        <f>IF(AND(3&lt;AK47,AK47&lt;=5),"OK","NG")</f>
        <v>NG</v>
      </c>
      <c r="AR50" s="97" t="s">
        <v>135</v>
      </c>
      <c r="AS50" s="98">
        <f>(AN54+AN56+AM56)*AO54*0.5*2</f>
        <v>3.179046907588436</v>
      </c>
      <c r="AV50" s="99">
        <f>(1+AK47)*(AL47+AM47)*0.5+(AO47+AP47)*AK47+(0.68+0.35)*1+(AL47+AM47)*0.5*(SQRT((0.68-0.35)^2+1)+SQRT((AO47-AP47)^2+AK47^2))</f>
        <v>25.376430183651404</v>
      </c>
      <c r="AW50" s="177" t="str">
        <f>IF(AND(3&lt;AK47,AK47&lt;=5),"OK","NG")</f>
        <v>NG</v>
      </c>
      <c r="AX50" s="97" t="s">
        <v>135</v>
      </c>
      <c r="AY50" s="98">
        <f>SUM(AS50,AS65,AS81,AS96,AS112,AS127)</f>
        <v>27.491232231524481</v>
      </c>
      <c r="BA50" s="89"/>
      <c r="BC50" s="99">
        <f>(1+AR47)*(AS47+AT47)*0.5+(AV47+AW47)*AR47+(0.68+0.35)*1+(AS47+AT47)*0.5*(SQRT((0.68-0.35)^2+1)+SQRT((AV47-AW47)^2+AR47^2))</f>
        <v>39.231123458736747</v>
      </c>
      <c r="BD50" s="177" t="str">
        <f>IF(AND(3&lt;BJ47,BJ47&lt;=5),"OK","NG")</f>
        <v>NG</v>
      </c>
      <c r="BE50" s="97" t="s">
        <v>135</v>
      </c>
      <c r="BF50" s="98">
        <f>SUM(BR50,BR65,BR81,BR96,BR112,BR127)</f>
        <v>26.973665527425538</v>
      </c>
      <c r="BH50" s="88"/>
      <c r="BI50" s="172" t="s">
        <v>136</v>
      </c>
      <c r="BJ50" s="175" t="s">
        <v>133</v>
      </c>
      <c r="BK50" s="176"/>
      <c r="BL50" s="94"/>
      <c r="BM50" s="95">
        <f>BO47</f>
        <v>0.55510964183578626</v>
      </c>
      <c r="BN50" s="96" t="s">
        <v>134</v>
      </c>
      <c r="BO50" s="89"/>
      <c r="BP50" s="177" t="str">
        <f>IF(AND(3&lt;BJ47,BJ47&lt;=5),"OK","NG")</f>
        <v>NG</v>
      </c>
      <c r="BQ50" s="97" t="s">
        <v>135</v>
      </c>
      <c r="BR50" s="98">
        <f>(BM54+BM56+BL56)*BN54*0.5*2</f>
        <v>4.0244656143351429</v>
      </c>
      <c r="BS50" s="89">
        <f>(1+BJ47)*(BK47+BL47)*0.5+(BN47+BO47)*BJ47+(0.68+0.35)*1+(BK47+BL47)*0.5*(SQRT((0.68-0.35)^2+1)+SQRT((BN47-BO47)^2+BJ47^2))</f>
        <v>39.231123458736747</v>
      </c>
    </row>
    <row r="51" spans="10:71" x14ac:dyDescent="0.25">
      <c r="J51" s="187">
        <f>(SQRT(K47^2+L56^2))*O51/K47</f>
        <v>-1.4662499999999972</v>
      </c>
      <c r="K51" s="188"/>
      <c r="L51" s="191"/>
      <c r="M51" s="100"/>
      <c r="N51" s="197"/>
      <c r="O51" s="101">
        <f>K47-3</f>
        <v>-1.4662499999999972</v>
      </c>
      <c r="Q51" s="187">
        <f>(SQRT(K47^2+S56^2))*U51/K47</f>
        <v>-1.5576742425811652</v>
      </c>
      <c r="R51" s="188"/>
      <c r="S51" s="191"/>
      <c r="T51" s="26"/>
      <c r="U51" s="101">
        <f>K47-3</f>
        <v>-1.4662499999999972</v>
      </c>
      <c r="W51" s="195"/>
      <c r="X51" s="21" t="s">
        <v>137</v>
      </c>
      <c r="Y51" s="29">
        <f>2*Q52*J47+2*U52*J47+2*J52*J47*(E47-1)+4*(T52+T54)*U52*0.5+2*(M52+M54)*O52*0.5*(E47-1)</f>
        <v>68.026084979721503</v>
      </c>
      <c r="AH51" s="88"/>
      <c r="AI51" s="88"/>
      <c r="AJ51" s="173"/>
      <c r="AK51" s="165"/>
      <c r="AL51" s="166"/>
      <c r="AM51" s="163"/>
      <c r="AN51" s="102"/>
      <c r="AO51" s="103">
        <f>AK47-3</f>
        <v>-1.0855202852439958</v>
      </c>
      <c r="AP51" s="89"/>
      <c r="AQ51" s="178"/>
      <c r="AR51" s="97" t="s">
        <v>137</v>
      </c>
      <c r="AS51" s="98">
        <f>(AN54+AN52)*AO52*0.5*2</f>
        <v>0.589523453794218</v>
      </c>
      <c r="AW51" s="178"/>
      <c r="AX51" s="97" t="s">
        <v>137</v>
      </c>
      <c r="AY51" s="98">
        <f>SUM(AS51,AS66,AS82,AS97,AS113,AS128)</f>
        <v>38.89148065570911</v>
      </c>
      <c r="BD51" s="178"/>
      <c r="BE51" s="97" t="s">
        <v>137</v>
      </c>
      <c r="BF51" s="98">
        <f>SUM(BR51,BR66,BR82,BR97,BR113,BR128)</f>
        <v>36.944426052650321</v>
      </c>
      <c r="BH51" s="88"/>
      <c r="BI51" s="173"/>
      <c r="BJ51" s="165"/>
      <c r="BK51" s="166"/>
      <c r="BL51" s="163"/>
      <c r="BM51" s="102"/>
      <c r="BN51" s="103">
        <f>BJ47-3</f>
        <v>-0.64697971475600191</v>
      </c>
      <c r="BO51" s="89"/>
      <c r="BP51" s="178"/>
      <c r="BQ51" s="97" t="s">
        <v>137</v>
      </c>
      <c r="BR51" s="98">
        <f>(BM54+BM52)*BN52*0.5*2</f>
        <v>1.0122328071675712</v>
      </c>
      <c r="BS51" s="89"/>
    </row>
    <row r="52" spans="10:71" x14ac:dyDescent="0.25">
      <c r="J52" s="187">
        <f>(SQRT(K47^2+L56^2))-J51-J54</f>
        <v>1</v>
      </c>
      <c r="K52" s="188"/>
      <c r="L52" s="191"/>
      <c r="M52" s="87">
        <f>2*(L56*O51/K47)+M50</f>
        <v>0</v>
      </c>
      <c r="N52" s="197"/>
      <c r="O52" s="189">
        <v>1</v>
      </c>
      <c r="Q52" s="187">
        <f>(SQRT(K47^2+S56^2))-Q51-Q54</f>
        <v>1.0623524246077873</v>
      </c>
      <c r="R52" s="188"/>
      <c r="S52" s="191"/>
      <c r="T52" s="104">
        <f>(S56*U51/K47)+T50</f>
        <v>2.420537897310715E-2</v>
      </c>
      <c r="U52" s="190">
        <f>1</f>
        <v>1</v>
      </c>
      <c r="W52" s="195"/>
      <c r="X52" s="21" t="s">
        <v>138</v>
      </c>
      <c r="Y52" s="29">
        <f>2*Q51*J47+2*U51*J47+2*J51*J47*(E47-1)+4*(T50+T52)*U51*0.5+2*(M50+M52)*O51*0.5*(E47-1)</f>
        <v>-100.23355058562403</v>
      </c>
      <c r="AH52" s="88"/>
      <c r="AI52" s="88"/>
      <c r="AJ52" s="173"/>
      <c r="AK52" s="165"/>
      <c r="AL52" s="166"/>
      <c r="AM52" s="163"/>
      <c r="AN52" s="105">
        <f>(AM56*AO51/AK47)+AN50</f>
        <v>0.12809506023044231</v>
      </c>
      <c r="AO52" s="167">
        <f>1</f>
        <v>1</v>
      </c>
      <c r="AP52" s="89"/>
      <c r="AQ52" s="179"/>
      <c r="AR52" s="97" t="s">
        <v>138</v>
      </c>
      <c r="AS52" s="98">
        <f>(AN52+AN50)*AO51*0.5*2</f>
        <v>-0.67088433586479512</v>
      </c>
      <c r="AW52" s="179"/>
      <c r="AX52" s="97" t="s">
        <v>138</v>
      </c>
      <c r="AY52" s="98">
        <f>SUM(AS52,AS67,AS83,AS98,AS114,AS129)</f>
        <v>-40.064368597383506</v>
      </c>
      <c r="BD52" s="179"/>
      <c r="BE52" s="97" t="s">
        <v>138</v>
      </c>
      <c r="BF52" s="98">
        <f>SUM(BR52,BR67,BR83,BR98,BR114,BR129)</f>
        <v>-23.293357227537797</v>
      </c>
      <c r="BH52" s="88"/>
      <c r="BI52" s="173"/>
      <c r="BJ52" s="165"/>
      <c r="BK52" s="166"/>
      <c r="BL52" s="163"/>
      <c r="BM52" s="105">
        <f>(BL56*BN51/BJ47)+BM50</f>
        <v>0.33944973691711899</v>
      </c>
      <c r="BN52" s="167">
        <f>1</f>
        <v>1</v>
      </c>
      <c r="BO52" s="89"/>
      <c r="BP52" s="179"/>
      <c r="BQ52" s="97" t="s">
        <v>138</v>
      </c>
      <c r="BR52" s="98">
        <f>(BM52+BM50)*BN51*0.5*2</f>
        <v>-0.57876177169786092</v>
      </c>
      <c r="BS52" s="89"/>
    </row>
    <row r="53" spans="10:71" x14ac:dyDescent="0.25">
      <c r="J53" s="187"/>
      <c r="K53" s="188"/>
      <c r="L53" s="191"/>
      <c r="M53" s="106"/>
      <c r="N53" s="197"/>
      <c r="O53" s="189"/>
      <c r="Q53" s="187"/>
      <c r="R53" s="188"/>
      <c r="S53" s="191"/>
      <c r="T53" s="107"/>
      <c r="U53" s="190"/>
      <c r="AH53" s="88"/>
      <c r="AI53" s="88"/>
      <c r="AJ53" s="173"/>
      <c r="AK53" s="165"/>
      <c r="AL53" s="166"/>
      <c r="AM53" s="163"/>
      <c r="AN53" s="108"/>
      <c r="AO53" s="167"/>
      <c r="AP53" s="89"/>
      <c r="AQ53" s="88"/>
      <c r="AR53" s="88"/>
      <c r="AS53" s="88"/>
      <c r="AW53" s="88"/>
      <c r="AX53" s="88"/>
      <c r="AY53" s="88"/>
      <c r="BD53" s="88"/>
      <c r="BE53" s="88"/>
      <c r="BF53" s="88"/>
      <c r="BH53" s="88"/>
      <c r="BI53" s="173"/>
      <c r="BJ53" s="165"/>
      <c r="BK53" s="166"/>
      <c r="BL53" s="163"/>
      <c r="BM53" s="108"/>
      <c r="BN53" s="167"/>
      <c r="BO53" s="89"/>
      <c r="BP53" s="88"/>
      <c r="BQ53" s="88"/>
      <c r="BR53" s="88"/>
      <c r="BS53" s="89"/>
    </row>
    <row r="54" spans="10:71" x14ac:dyDescent="0.25">
      <c r="J54" s="187">
        <f>(SQRT(K47^2+L56^2))*O54/K47</f>
        <v>2</v>
      </c>
      <c r="K54" s="188"/>
      <c r="L54" s="191"/>
      <c r="M54" s="87">
        <f>2*(L56*(O51+O52)/K47)+M50</f>
        <v>0</v>
      </c>
      <c r="N54" s="197"/>
      <c r="O54" s="189">
        <v>2</v>
      </c>
      <c r="Q54" s="187">
        <f>(SQRT(K47^2+S56^2))*U54/K47</f>
        <v>2.1247048492155742</v>
      </c>
      <c r="R54" s="188"/>
      <c r="S54" s="191"/>
      <c r="T54" s="104">
        <f>(S56*(U51+U52)/K47)+T50</f>
        <v>0.38280358598207143</v>
      </c>
      <c r="U54" s="190">
        <f>2</f>
        <v>2</v>
      </c>
      <c r="AH54" s="88"/>
      <c r="AI54" s="88"/>
      <c r="AJ54" s="173"/>
      <c r="AK54" s="165"/>
      <c r="AL54" s="166"/>
      <c r="AM54" s="163"/>
      <c r="AN54" s="105">
        <f>(AM56*(AO51+AO52)/AK47)+AN50</f>
        <v>0.46142839356377563</v>
      </c>
      <c r="AO54" s="167">
        <f>2</f>
        <v>2</v>
      </c>
      <c r="AP54" s="89"/>
      <c r="AQ54" s="88"/>
      <c r="AR54" s="88"/>
      <c r="AS54" s="88"/>
      <c r="AW54" s="88"/>
      <c r="AX54" s="88"/>
      <c r="AY54" s="88"/>
      <c r="BD54" s="88"/>
      <c r="BE54" s="88"/>
      <c r="BF54" s="88"/>
      <c r="BH54" s="88"/>
      <c r="BI54" s="173"/>
      <c r="BJ54" s="165"/>
      <c r="BK54" s="166"/>
      <c r="BL54" s="163"/>
      <c r="BM54" s="105">
        <f>(BL56*(BN51+BN52)/BJ47)+BM50</f>
        <v>0.67278307025045225</v>
      </c>
      <c r="BN54" s="167">
        <f>2</f>
        <v>2</v>
      </c>
      <c r="BO54" s="89"/>
      <c r="BP54" s="88"/>
      <c r="BQ54" s="88"/>
      <c r="BR54" s="88"/>
      <c r="BS54" s="89"/>
    </row>
    <row r="55" spans="10:71" x14ac:dyDescent="0.25">
      <c r="J55" s="187"/>
      <c r="K55" s="188"/>
      <c r="L55" s="192"/>
      <c r="M55" s="109"/>
      <c r="N55" s="198"/>
      <c r="O55" s="189"/>
      <c r="Q55" s="187"/>
      <c r="R55" s="188"/>
      <c r="S55" s="192"/>
      <c r="T55" s="107"/>
      <c r="U55" s="190"/>
      <c r="AH55" s="88"/>
      <c r="AI55" s="88"/>
      <c r="AJ55" s="173"/>
      <c r="AK55" s="165"/>
      <c r="AL55" s="166"/>
      <c r="AM55" s="164"/>
      <c r="AN55" s="108"/>
      <c r="AO55" s="167"/>
      <c r="AP55" s="89"/>
      <c r="AQ55" s="88"/>
      <c r="AR55" s="88"/>
      <c r="AS55" s="88"/>
      <c r="AW55" s="88"/>
      <c r="AX55" s="88"/>
      <c r="AY55" s="88"/>
      <c r="BD55" s="88"/>
      <c r="BE55" s="88"/>
      <c r="BF55" s="88"/>
      <c r="BH55" s="88"/>
      <c r="BI55" s="173"/>
      <c r="BJ55" s="165"/>
      <c r="BK55" s="166"/>
      <c r="BL55" s="164"/>
      <c r="BM55" s="108"/>
      <c r="BN55" s="167"/>
      <c r="BO55" s="89"/>
      <c r="BP55" s="88"/>
      <c r="BQ55" s="88"/>
      <c r="BR55" s="88"/>
      <c r="BS55" s="89"/>
    </row>
    <row r="56" spans="10:71" ht="14.4" thickBot="1" x14ac:dyDescent="0.3">
      <c r="J56" s="110"/>
      <c r="K56" s="111"/>
      <c r="L56" s="111">
        <f>(R47-S47)/2</f>
        <v>0</v>
      </c>
      <c r="M56" s="112">
        <f>M50</f>
        <v>0</v>
      </c>
      <c r="N56" s="111">
        <f>(R47-S47)/2</f>
        <v>0</v>
      </c>
      <c r="O56" s="113"/>
      <c r="Q56" s="110"/>
      <c r="R56" s="111"/>
      <c r="S56" s="114">
        <f>N47-O47</f>
        <v>0.55000000000000004</v>
      </c>
      <c r="T56" s="112">
        <f>T50</f>
        <v>0.55000000000000004</v>
      </c>
      <c r="U56" s="113"/>
      <c r="AH56" s="88"/>
      <c r="AI56" s="88"/>
      <c r="AJ56" s="173"/>
      <c r="AK56" s="115"/>
      <c r="AL56" s="115"/>
      <c r="AM56" s="116">
        <f>AO47-AP47</f>
        <v>0.63815990491866803</v>
      </c>
      <c r="AN56" s="117">
        <f>AN50</f>
        <v>0.48993515531177423</v>
      </c>
      <c r="AO56" s="118"/>
      <c r="AP56" s="89"/>
      <c r="AQ56" s="88"/>
      <c r="AR56" s="88"/>
      <c r="AS56" s="88"/>
      <c r="AW56" s="88"/>
      <c r="AX56" s="88"/>
      <c r="AY56" s="88"/>
      <c r="BD56" s="88"/>
      <c r="BE56" s="88"/>
      <c r="BF56" s="88"/>
      <c r="BH56" s="88"/>
      <c r="BI56" s="173"/>
      <c r="BJ56" s="115"/>
      <c r="BK56" s="115"/>
      <c r="BL56" s="116">
        <f>BN47-BO47</f>
        <v>0.78434009508133273</v>
      </c>
      <c r="BM56" s="117">
        <f>BM50</f>
        <v>0.55510964183578626</v>
      </c>
      <c r="BN56" s="118"/>
      <c r="BO56" s="89"/>
      <c r="BP56" s="88"/>
      <c r="BQ56" s="88"/>
      <c r="BR56" s="88"/>
      <c r="BS56" s="89"/>
    </row>
    <row r="57" spans="10:71" ht="14.4" thickBot="1" x14ac:dyDescent="0.3">
      <c r="X57" s="196" t="s">
        <v>114</v>
      </c>
      <c r="Y57" s="196"/>
      <c r="AH57" s="88"/>
      <c r="AI57" s="88"/>
      <c r="AJ57" s="173"/>
      <c r="AK57" s="119"/>
      <c r="AL57" s="119"/>
      <c r="AM57" s="119"/>
      <c r="AN57" s="88"/>
      <c r="AO57" s="88"/>
      <c r="AP57" s="89"/>
      <c r="AQ57" s="88"/>
      <c r="AR57" s="168" t="s">
        <v>114</v>
      </c>
      <c r="AS57" s="169"/>
      <c r="AW57" s="88"/>
      <c r="AX57" s="168" t="s">
        <v>114</v>
      </c>
      <c r="AY57" s="169"/>
      <c r="BD57" s="88"/>
      <c r="BE57" s="168" t="s">
        <v>114</v>
      </c>
      <c r="BF57" s="169"/>
      <c r="BH57" s="88"/>
      <c r="BI57" s="173"/>
      <c r="BJ57" s="119"/>
      <c r="BK57" s="119"/>
      <c r="BL57" s="119"/>
      <c r="BM57" s="88"/>
      <c r="BN57" s="88"/>
      <c r="BO57" s="89"/>
      <c r="BP57" s="88"/>
      <c r="BQ57" s="168" t="s">
        <v>114</v>
      </c>
      <c r="BR57" s="169"/>
      <c r="BS57" s="89"/>
    </row>
    <row r="58" spans="10:71" x14ac:dyDescent="0.25">
      <c r="J58" s="193" t="s">
        <v>133</v>
      </c>
      <c r="K58" s="194"/>
      <c r="L58" s="91"/>
      <c r="M58" s="92">
        <f>S47</f>
        <v>0</v>
      </c>
      <c r="N58" s="91"/>
      <c r="O58" s="93" t="s">
        <v>134</v>
      </c>
      <c r="Q58" s="193" t="s">
        <v>133</v>
      </c>
      <c r="R58" s="194"/>
      <c r="S58" s="91"/>
      <c r="T58" s="92">
        <f>O47</f>
        <v>0.55000000000000004</v>
      </c>
      <c r="U58" s="93" t="s">
        <v>134</v>
      </c>
      <c r="W58" s="195" t="str">
        <f>IF(AND(2&lt;K47,K47&lt;=3),"OK","NG")</f>
        <v>NG</v>
      </c>
      <c r="X58" s="21" t="s">
        <v>135</v>
      </c>
      <c r="Y58" s="29">
        <f>2*Q60*J47+2*U60*J47+2*J60*J47*(E47-1)+4*(N47+T60)*U60*0.5+2*(R47+M60)*O60*0.5*(E47-1)</f>
        <v>140.35534844355055</v>
      </c>
      <c r="AH58" s="88"/>
      <c r="AI58" s="88"/>
      <c r="AJ58" s="173"/>
      <c r="AK58" s="175" t="s">
        <v>133</v>
      </c>
      <c r="AL58" s="176"/>
      <c r="AM58" s="94"/>
      <c r="AN58" s="95">
        <f>AP47</f>
        <v>0.48993515531177423</v>
      </c>
      <c r="AO58" s="96" t="s">
        <v>134</v>
      </c>
      <c r="AP58" s="89"/>
      <c r="AQ58" s="177" t="str">
        <f>IF(AND(2&lt;AK47,AK47&lt;=3),"OK","NG")</f>
        <v>NG</v>
      </c>
      <c r="AR58" s="97" t="s">
        <v>135</v>
      </c>
      <c r="AS58" s="98">
        <f>(AN60+AN62+AM62)*AO60*0.5*2</f>
        <v>3.179046907588436</v>
      </c>
      <c r="AW58" s="177" t="str">
        <f>IF(AND(2&lt;AK47,AK47&lt;=3),"OK","NG")</f>
        <v>NG</v>
      </c>
      <c r="AX58" s="97" t="s">
        <v>135</v>
      </c>
      <c r="AY58" s="98">
        <f>SUM(AS58,AS73,AS89,AS104,AS120,AS135)</f>
        <v>27.491232231524481</v>
      </c>
      <c r="BD58" s="177" t="str">
        <f>IF(AND(2&lt;BJ47,BJ47&lt;=3),"OK","NG")</f>
        <v>OK</v>
      </c>
      <c r="BE58" s="97" t="s">
        <v>135</v>
      </c>
      <c r="BF58" s="98">
        <f>SUM(BR58,BR73,BR89,BR104,BR120,BR135)</f>
        <v>26.973665527425538</v>
      </c>
      <c r="BH58" s="88"/>
      <c r="BI58" s="173"/>
      <c r="BJ58" s="175" t="s">
        <v>133</v>
      </c>
      <c r="BK58" s="176"/>
      <c r="BL58" s="94"/>
      <c r="BM58" s="95">
        <f>BO47</f>
        <v>0.55510964183578626</v>
      </c>
      <c r="BN58" s="96" t="s">
        <v>134</v>
      </c>
      <c r="BO58" s="89"/>
      <c r="BP58" s="177" t="str">
        <f>IF(AND(2&lt;BJ47,BJ47&lt;=3),"OK","NG")</f>
        <v>OK</v>
      </c>
      <c r="BQ58" s="97" t="s">
        <v>135</v>
      </c>
      <c r="BR58" s="98">
        <f>(BM60+BM62+BL62)*BN60*0.5*2</f>
        <v>4.0244656143351429</v>
      </c>
      <c r="BS58" s="89"/>
    </row>
    <row r="59" spans="10:71" x14ac:dyDescent="0.25">
      <c r="J59" s="187">
        <f>(SQRT(K47^2+L62^2))*O59/K47</f>
        <v>-0.46624999999999717</v>
      </c>
      <c r="K59" s="188"/>
      <c r="L59" s="191"/>
      <c r="M59" s="100"/>
      <c r="N59" s="197"/>
      <c r="O59" s="101">
        <f>K47-2</f>
        <v>-0.46624999999999717</v>
      </c>
      <c r="Q59" s="187">
        <f>(SQRT(K47^2+S62^2))*U59/K47</f>
        <v>-0.49532181797337776</v>
      </c>
      <c r="R59" s="188"/>
      <c r="S59" s="191"/>
      <c r="T59" s="26"/>
      <c r="U59" s="101">
        <f>K47-2</f>
        <v>-0.46624999999999717</v>
      </c>
      <c r="W59" s="195"/>
      <c r="X59" s="21" t="s">
        <v>137</v>
      </c>
      <c r="Y59" s="29">
        <f>2*Q59*J47+2*U59*J47+2*J59*J47*(E47-1)+4*(T58+T60)*U59*0.5+2*(M58+M60)*O59*0.5*(E47-1)</f>
        <v>-32.207465605902527</v>
      </c>
      <c r="AH59" s="88"/>
      <c r="AI59" s="88"/>
      <c r="AJ59" s="173"/>
      <c r="AK59" s="165"/>
      <c r="AL59" s="166"/>
      <c r="AM59" s="163"/>
      <c r="AN59" s="102"/>
      <c r="AO59" s="103">
        <f>AK47-2</f>
        <v>-8.5520285243995797E-2</v>
      </c>
      <c r="AP59" s="89"/>
      <c r="AQ59" s="179"/>
      <c r="AR59" s="97" t="s">
        <v>137</v>
      </c>
      <c r="AS59" s="98">
        <f>(AN60+AN58)*AO59*0.5*2</f>
        <v>-8.1360882070577165E-2</v>
      </c>
      <c r="AW59" s="179"/>
      <c r="AX59" s="97" t="s">
        <v>137</v>
      </c>
      <c r="AY59" s="98">
        <f>SUM(AS59,AS74,AS90,AS105,AS121,AS136)</f>
        <v>-1.1728879416743927</v>
      </c>
      <c r="BD59" s="179"/>
      <c r="BE59" s="97" t="s">
        <v>137</v>
      </c>
      <c r="BF59" s="98">
        <f>SUM(BR59,BR74,BR90,BR105,BR121,BR136)</f>
        <v>13.651068825112525</v>
      </c>
      <c r="BH59" s="88"/>
      <c r="BI59" s="173"/>
      <c r="BJ59" s="165"/>
      <c r="BK59" s="166"/>
      <c r="BL59" s="163"/>
      <c r="BM59" s="102"/>
      <c r="BN59" s="103">
        <f>BJ47-2</f>
        <v>0.35302028524399809</v>
      </c>
      <c r="BO59" s="89"/>
      <c r="BP59" s="179"/>
      <c r="BQ59" s="97" t="s">
        <v>137</v>
      </c>
      <c r="BR59" s="98">
        <f>(BM60+BM58)*BN59*0.5*2</f>
        <v>0.43347103546971039</v>
      </c>
      <c r="BS59" s="89"/>
    </row>
    <row r="60" spans="10:71" x14ac:dyDescent="0.25">
      <c r="J60" s="187">
        <f>(SQRT(K47^2+L62^2))*O60/K47</f>
        <v>2</v>
      </c>
      <c r="K60" s="188"/>
      <c r="L60" s="191"/>
      <c r="M60" s="87">
        <f>2*(L62*O59/K47)+M58</f>
        <v>0</v>
      </c>
      <c r="N60" s="197"/>
      <c r="O60" s="189">
        <v>2</v>
      </c>
      <c r="Q60" s="187">
        <f>(SQRT(K47^2+S62^2))*U60/K47</f>
        <v>2.1247048492155742</v>
      </c>
      <c r="R60" s="188"/>
      <c r="S60" s="191"/>
      <c r="T60" s="104">
        <f>(S62*U59/K47)+T58</f>
        <v>0.38280358598207143</v>
      </c>
      <c r="U60" s="190">
        <f>2</f>
        <v>2</v>
      </c>
      <c r="AH60" s="88"/>
      <c r="AI60" s="88"/>
      <c r="AJ60" s="173"/>
      <c r="AK60" s="165"/>
      <c r="AL60" s="166"/>
      <c r="AM60" s="163"/>
      <c r="AN60" s="105">
        <f>(AM62*AO59/AK47)+AN58</f>
        <v>0.46142839356377563</v>
      </c>
      <c r="AO60" s="167">
        <f>2</f>
        <v>2</v>
      </c>
      <c r="AP60" s="89"/>
      <c r="AQ60" s="89"/>
      <c r="AR60" s="89"/>
      <c r="AS60" s="89"/>
      <c r="BD60" s="89"/>
      <c r="BE60" s="89"/>
      <c r="BF60" s="89"/>
      <c r="BH60" s="88"/>
      <c r="BI60" s="173"/>
      <c r="BJ60" s="165"/>
      <c r="BK60" s="166"/>
      <c r="BL60" s="163"/>
      <c r="BM60" s="105">
        <f>(BL62*BN59/BJ47)+BM58</f>
        <v>0.67278307025045225</v>
      </c>
      <c r="BN60" s="167">
        <f>2</f>
        <v>2</v>
      </c>
      <c r="BO60" s="89"/>
      <c r="BP60" s="89"/>
      <c r="BQ60" s="89"/>
      <c r="BR60" s="89"/>
      <c r="BS60" s="89"/>
    </row>
    <row r="61" spans="10:71" x14ac:dyDescent="0.25">
      <c r="J61" s="187"/>
      <c r="K61" s="188"/>
      <c r="L61" s="192"/>
      <c r="M61" s="109"/>
      <c r="N61" s="198"/>
      <c r="O61" s="189"/>
      <c r="Q61" s="187"/>
      <c r="R61" s="188"/>
      <c r="S61" s="192"/>
      <c r="T61" s="107"/>
      <c r="U61" s="190"/>
      <c r="AH61" s="88"/>
      <c r="AI61" s="88"/>
      <c r="AJ61" s="173"/>
      <c r="AK61" s="165"/>
      <c r="AL61" s="166"/>
      <c r="AM61" s="164"/>
      <c r="AN61" s="108"/>
      <c r="AO61" s="167"/>
      <c r="AP61" s="89"/>
      <c r="AQ61" s="89"/>
      <c r="AR61" s="89"/>
      <c r="AS61" s="89"/>
      <c r="BD61" s="89"/>
      <c r="BE61" s="89"/>
      <c r="BF61" s="89"/>
      <c r="BH61" s="88"/>
      <c r="BI61" s="173"/>
      <c r="BJ61" s="165"/>
      <c r="BK61" s="166"/>
      <c r="BL61" s="164"/>
      <c r="BM61" s="108"/>
      <c r="BN61" s="167"/>
      <c r="BO61" s="89"/>
      <c r="BP61" s="89"/>
      <c r="BQ61" s="89"/>
      <c r="BR61" s="89"/>
      <c r="BS61" s="89"/>
    </row>
    <row r="62" spans="10:71" ht="14.4" thickBot="1" x14ac:dyDescent="0.3">
      <c r="J62" s="110"/>
      <c r="K62" s="111"/>
      <c r="L62" s="111">
        <f>(R47-S47)/2</f>
        <v>0</v>
      </c>
      <c r="M62" s="112">
        <f>M58</f>
        <v>0</v>
      </c>
      <c r="N62" s="111">
        <f>(R47-S47)/2</f>
        <v>0</v>
      </c>
      <c r="O62" s="113"/>
      <c r="Q62" s="110"/>
      <c r="R62" s="111"/>
      <c r="S62" s="114">
        <f>N47-O47</f>
        <v>0.55000000000000004</v>
      </c>
      <c r="T62" s="112">
        <f>T58</f>
        <v>0.55000000000000004</v>
      </c>
      <c r="U62" s="113"/>
      <c r="AH62" s="88"/>
      <c r="AI62" s="88"/>
      <c r="AJ62" s="174"/>
      <c r="AK62" s="115"/>
      <c r="AL62" s="115"/>
      <c r="AM62" s="116">
        <f>AO47-AP47</f>
        <v>0.63815990491866803</v>
      </c>
      <c r="AN62" s="117">
        <f>AN58</f>
        <v>0.48993515531177423</v>
      </c>
      <c r="AO62" s="118"/>
      <c r="AP62" s="89"/>
      <c r="AQ62" s="89"/>
      <c r="AR62" s="89"/>
      <c r="AS62" s="89"/>
      <c r="BD62" s="89"/>
      <c r="BE62" s="89"/>
      <c r="BF62" s="89"/>
      <c r="BH62" s="88"/>
      <c r="BI62" s="174"/>
      <c r="BJ62" s="115"/>
      <c r="BK62" s="115"/>
      <c r="BL62" s="116">
        <f>BN47-BO47</f>
        <v>0.78434009508133273</v>
      </c>
      <c r="BM62" s="117">
        <f>BM58</f>
        <v>0.55510964183578626</v>
      </c>
      <c r="BN62" s="118"/>
      <c r="BO62" s="89"/>
      <c r="BP62" s="89"/>
      <c r="BQ62" s="89"/>
      <c r="BR62" s="89"/>
      <c r="BS62" s="89"/>
    </row>
    <row r="63" spans="10:71" ht="14.4" thickBot="1" x14ac:dyDescent="0.3">
      <c r="AH63" s="88"/>
      <c r="AI63" s="120"/>
      <c r="AJ63" s="120"/>
      <c r="AK63" s="120"/>
      <c r="AL63" s="120"/>
      <c r="AM63" s="120"/>
      <c r="AN63" s="120"/>
      <c r="AO63" s="121"/>
      <c r="AP63" s="121"/>
      <c r="AQ63" s="121"/>
      <c r="AR63" s="121"/>
      <c r="AS63" s="121"/>
      <c r="AV63" s="89"/>
      <c r="AW63" s="90"/>
      <c r="AX63" s="168" t="s">
        <v>114</v>
      </c>
      <c r="AY63" s="169"/>
      <c r="AZ63" s="89"/>
      <c r="BA63" s="89"/>
      <c r="BB63" s="89"/>
      <c r="BC63" s="89"/>
      <c r="BE63" s="88"/>
      <c r="BH63" s="122"/>
      <c r="BI63" s="120"/>
      <c r="BJ63" s="120"/>
      <c r="BK63" s="120"/>
      <c r="BL63" s="120"/>
      <c r="BM63" s="120"/>
      <c r="BN63" s="121"/>
      <c r="BO63" s="121"/>
      <c r="BP63" s="121"/>
      <c r="BQ63" s="121"/>
      <c r="BR63" s="121"/>
      <c r="BS63" s="89"/>
    </row>
    <row r="64" spans="10:71" ht="15" thickTop="1" thickBot="1" x14ac:dyDescent="0.3">
      <c r="AH64" s="88"/>
      <c r="AI64" s="88"/>
      <c r="AJ64" s="88"/>
      <c r="AK64" s="88"/>
      <c r="AL64" s="88"/>
      <c r="AM64" s="88"/>
      <c r="AN64" s="88"/>
      <c r="AO64" s="89"/>
      <c r="AP64" s="89"/>
      <c r="AQ64" s="90"/>
      <c r="AR64" s="170" t="s">
        <v>114</v>
      </c>
      <c r="AS64" s="171"/>
      <c r="AV64" s="89"/>
      <c r="AW64" s="184" t="s">
        <v>139</v>
      </c>
      <c r="AX64" s="97" t="s">
        <v>135</v>
      </c>
      <c r="AY64" s="98">
        <f>SUM(AZ64:BE64)</f>
        <v>52.350095711076946</v>
      </c>
      <c r="AZ64" s="89">
        <f>IF(ISNUMBER(SEARCH("OK",AW50)),AY50,0)</f>
        <v>0</v>
      </c>
      <c r="BA64" s="89">
        <f>IF(ISNUMBER(SEARCH("OK",BD50)),BF50,0)</f>
        <v>0</v>
      </c>
      <c r="BB64" s="89">
        <f>IF(ISNUMBER(SEARCH("OK",AW58)),AY58,0)</f>
        <v>0</v>
      </c>
      <c r="BC64" s="89">
        <f>IF(ISNUMBER(SEARCH("OK",BD58)),BF58,0)</f>
        <v>26.973665527425538</v>
      </c>
      <c r="BD64">
        <f>IF(AND(ISNUMBER(SEARCH("NG",AW58)),ISNUMBER(SEARCH("NG",AW50))),AV50,0)</f>
        <v>25.376430183651404</v>
      </c>
      <c r="BE64" s="88">
        <f>IF(AND(ISNUMBER(SEARCH("NG",BD58)),ISNUMBER(SEARCH("NG",BD50))),BC50,0)</f>
        <v>0</v>
      </c>
      <c r="BI64" s="88"/>
      <c r="BJ64" s="88"/>
      <c r="BK64" s="88"/>
      <c r="BL64" s="88"/>
      <c r="BM64" s="88"/>
      <c r="BN64" s="89"/>
      <c r="BO64" s="89"/>
      <c r="BP64" s="90"/>
      <c r="BQ64" s="170" t="s">
        <v>114</v>
      </c>
      <c r="BR64" s="171"/>
      <c r="BS64" s="89"/>
    </row>
    <row r="65" spans="34:71" x14ac:dyDescent="0.25">
      <c r="AH65" s="88"/>
      <c r="AI65" s="88"/>
      <c r="AJ65" s="181" t="s">
        <v>140</v>
      </c>
      <c r="AK65" s="176" t="s">
        <v>133</v>
      </c>
      <c r="AL65" s="176"/>
      <c r="AM65" s="94"/>
      <c r="AN65" s="95">
        <v>1</v>
      </c>
      <c r="AO65" s="96" t="s">
        <v>134</v>
      </c>
      <c r="AP65" s="89"/>
      <c r="AQ65" s="177" t="str">
        <f>IF(AND(3&lt;AK47,AK47&lt;=5),"OK","NG")</f>
        <v>NG</v>
      </c>
      <c r="AR65" s="97" t="s">
        <v>135</v>
      </c>
      <c r="AS65" s="98">
        <f>(AN65+2)*AO66*0.5</f>
        <v>6.7251355068503678</v>
      </c>
      <c r="AV65" s="89"/>
      <c r="AW65" s="185"/>
      <c r="AX65" s="97" t="s">
        <v>137</v>
      </c>
      <c r="AY65" s="98">
        <f>SUM(AZ65:BC65)</f>
        <v>13.651068825112525</v>
      </c>
      <c r="AZ65" s="89">
        <f>IF(ISNUMBER(SEARCH("OK",AW50)),AY51,0)</f>
        <v>0</v>
      </c>
      <c r="BA65" s="89">
        <f>IF(ISNUMBER(SEARCH("OK",BD50)),BF51,0)</f>
        <v>0</v>
      </c>
      <c r="BB65" s="89">
        <f>IF(ISNUMBER(SEARCH("OK",AW58)),AY59,0)</f>
        <v>0</v>
      </c>
      <c r="BC65" s="89">
        <f>IF(ISNUMBER(SEARCH("OK",BD58)),BF59,0)</f>
        <v>13.651068825112525</v>
      </c>
      <c r="BE65" s="88"/>
      <c r="BI65" s="181" t="s">
        <v>140</v>
      </c>
      <c r="BJ65" s="176" t="s">
        <v>133</v>
      </c>
      <c r="BK65" s="176"/>
      <c r="BL65" s="94"/>
      <c r="BM65" s="95">
        <v>1</v>
      </c>
      <c r="BN65" s="96" t="s">
        <v>134</v>
      </c>
      <c r="BO65" s="89"/>
      <c r="BP65" s="177" t="str">
        <f>IF(AND(3&lt;BJ47,BJ47&lt;=5),"OK","NG")</f>
        <v>NG</v>
      </c>
      <c r="BQ65" s="97" t="s">
        <v>135</v>
      </c>
      <c r="BR65" s="98">
        <f>(BM65+2)*BN66*0.5</f>
        <v>6.4300588061257908</v>
      </c>
      <c r="BS65" s="89"/>
    </row>
    <row r="66" spans="34:71" x14ac:dyDescent="0.25">
      <c r="AH66" s="88"/>
      <c r="AI66" s="88"/>
      <c r="AJ66" s="182"/>
      <c r="AK66" s="166"/>
      <c r="AL66" s="166"/>
      <c r="AM66" s="163"/>
      <c r="AN66" s="102"/>
      <c r="AO66" s="103">
        <f>AL47/(AK47-1)</f>
        <v>4.4834236712335782</v>
      </c>
      <c r="AP66" s="89"/>
      <c r="AQ66" s="178"/>
      <c r="AR66" s="97" t="s">
        <v>137</v>
      </c>
      <c r="AS66" s="98">
        <f>(2+3)*AO67*0.5</f>
        <v>11.208559178083945</v>
      </c>
      <c r="AV66" s="89"/>
      <c r="AW66" s="186"/>
      <c r="AX66" s="97" t="s">
        <v>138</v>
      </c>
      <c r="AY66" s="98">
        <f>SUM(AZ66:BA66)</f>
        <v>0</v>
      </c>
      <c r="AZ66" s="89">
        <f>IF(ISNUMBER(SEARCH("OK",AW50)),AY52,0)</f>
        <v>0</v>
      </c>
      <c r="BA66" s="89">
        <f>IF(ISNUMBER(SEARCH("OK",BD50)),BF52,0)</f>
        <v>0</v>
      </c>
      <c r="BB66" s="89"/>
      <c r="BC66" s="89"/>
      <c r="BE66" s="88"/>
      <c r="BI66" s="182"/>
      <c r="BJ66" s="166"/>
      <c r="BK66" s="166"/>
      <c r="BL66" s="163"/>
      <c r="BM66" s="102"/>
      <c r="BN66" s="103">
        <f>BK47/(BJ47-1)</f>
        <v>4.2867058707505272</v>
      </c>
      <c r="BO66" s="89"/>
      <c r="BP66" s="178"/>
      <c r="BQ66" s="97" t="s">
        <v>137</v>
      </c>
      <c r="BR66" s="98">
        <f>(2+3)*BN67*0.5</f>
        <v>10.716764676876318</v>
      </c>
      <c r="BS66" s="89"/>
    </row>
    <row r="67" spans="34:71" x14ac:dyDescent="0.25">
      <c r="AH67" s="88"/>
      <c r="AI67" s="88"/>
      <c r="AJ67" s="182"/>
      <c r="AK67" s="166"/>
      <c r="AL67" s="166"/>
      <c r="AM67" s="163"/>
      <c r="AN67" s="123">
        <v>1</v>
      </c>
      <c r="AO67" s="180">
        <f>2*AL47/AM71-AO66</f>
        <v>4.4834236712335782</v>
      </c>
      <c r="AP67" s="89"/>
      <c r="AQ67" s="179"/>
      <c r="AR67" s="97" t="s">
        <v>138</v>
      </c>
      <c r="AS67" s="98">
        <f>(3+AN71+AM71)*AO69*0.5</f>
        <v>-11.959011269684504</v>
      </c>
      <c r="AV67" s="89"/>
      <c r="AW67" s="89"/>
      <c r="AY67" s="89"/>
      <c r="AZ67" s="88"/>
      <c r="BA67" s="88"/>
      <c r="BB67" s="88"/>
      <c r="BC67" s="89"/>
      <c r="BD67" s="89"/>
      <c r="BE67" s="89"/>
      <c r="BF67" s="89"/>
      <c r="BH67" s="88"/>
      <c r="BI67" s="182"/>
      <c r="BJ67" s="166"/>
      <c r="BK67" s="166"/>
      <c r="BL67" s="163"/>
      <c r="BM67" s="123">
        <v>1</v>
      </c>
      <c r="BN67" s="180">
        <f>2*BK47/BL71-BN66</f>
        <v>4.2867058707505272</v>
      </c>
      <c r="BO67" s="89"/>
      <c r="BP67" s="179"/>
      <c r="BQ67" s="97" t="s">
        <v>138</v>
      </c>
      <c r="BR67" s="98">
        <f>(3+BM71+BL71)*BN69*0.5</f>
        <v>-7.4230646557945148</v>
      </c>
      <c r="BS67" s="89"/>
    </row>
    <row r="68" spans="34:71" x14ac:dyDescent="0.25">
      <c r="AH68" s="88"/>
      <c r="AI68" s="88"/>
      <c r="AJ68" s="182"/>
      <c r="AK68" s="166"/>
      <c r="AL68" s="166"/>
      <c r="AM68" s="163"/>
      <c r="AN68" s="108"/>
      <c r="AO68" s="180"/>
      <c r="AP68" s="89"/>
      <c r="AQ68" s="88"/>
      <c r="AR68" s="88"/>
      <c r="AS68" s="88"/>
      <c r="AV68" s="89"/>
      <c r="AW68" s="89"/>
      <c r="AY68" s="89"/>
      <c r="AZ68" s="88"/>
      <c r="BA68" s="88"/>
      <c r="BB68" s="88"/>
      <c r="BC68" s="89"/>
      <c r="BD68" s="89"/>
      <c r="BE68" s="89"/>
      <c r="BF68" s="89"/>
      <c r="BH68" s="88"/>
      <c r="BI68" s="182"/>
      <c r="BJ68" s="166"/>
      <c r="BK68" s="166"/>
      <c r="BL68" s="163"/>
      <c r="BM68" s="108"/>
      <c r="BN68" s="180"/>
      <c r="BO68" s="89"/>
      <c r="BP68" s="88"/>
      <c r="BQ68" s="88"/>
      <c r="BR68" s="88"/>
      <c r="BS68" s="89"/>
    </row>
    <row r="69" spans="34:71" x14ac:dyDescent="0.25">
      <c r="AH69" s="88"/>
      <c r="AI69" s="88"/>
      <c r="AJ69" s="182"/>
      <c r="AK69" s="166"/>
      <c r="AL69" s="166"/>
      <c r="AM69" s="163"/>
      <c r="AN69" s="124">
        <v>2</v>
      </c>
      <c r="AO69" s="180">
        <f>AL47-SUM(AO66:AO68)</f>
        <v>-4.8668473424671568</v>
      </c>
      <c r="AP69" s="89"/>
      <c r="AQ69" s="88"/>
      <c r="AR69" s="88"/>
      <c r="AS69" s="88"/>
      <c r="AV69" s="89"/>
      <c r="AW69" s="89"/>
      <c r="AY69" s="89"/>
      <c r="AZ69" s="88"/>
      <c r="BA69" s="88"/>
      <c r="BB69" s="88"/>
      <c r="BC69" s="89"/>
      <c r="BD69" s="89"/>
      <c r="BE69" s="89"/>
      <c r="BF69" s="89"/>
      <c r="BH69" s="88"/>
      <c r="BI69" s="182"/>
      <c r="BJ69" s="166"/>
      <c r="BK69" s="166"/>
      <c r="BL69" s="163"/>
      <c r="BM69" s="124">
        <v>2</v>
      </c>
      <c r="BN69" s="180">
        <f>BK47-SUM(BN66:BN68)</f>
        <v>-2.7734117415010546</v>
      </c>
      <c r="BO69" s="89"/>
      <c r="BP69" s="88"/>
      <c r="BQ69" s="88"/>
      <c r="BR69" s="88"/>
      <c r="BS69" s="89"/>
    </row>
    <row r="70" spans="34:71" x14ac:dyDescent="0.25">
      <c r="AH70" s="88"/>
      <c r="AI70" s="88"/>
      <c r="AJ70" s="182"/>
      <c r="AK70" s="166"/>
      <c r="AL70" s="166"/>
      <c r="AM70" s="164"/>
      <c r="AN70" s="108"/>
      <c r="AO70" s="167"/>
      <c r="AP70" s="89"/>
      <c r="AQ70" s="88"/>
      <c r="AR70" s="88"/>
      <c r="AS70" s="88"/>
      <c r="AV70" s="89"/>
      <c r="AW70" s="89"/>
      <c r="AY70" s="89"/>
      <c r="AZ70" s="88"/>
      <c r="BA70" s="88"/>
      <c r="BB70" s="88"/>
      <c r="BC70" s="89"/>
      <c r="BD70" s="89"/>
      <c r="BE70" s="89"/>
      <c r="BF70" s="89"/>
      <c r="BH70" s="88"/>
      <c r="BI70" s="182"/>
      <c r="BJ70" s="166"/>
      <c r="BK70" s="166"/>
      <c r="BL70" s="164"/>
      <c r="BM70" s="108"/>
      <c r="BN70" s="167"/>
      <c r="BO70" s="89"/>
      <c r="BP70" s="88"/>
      <c r="BQ70" s="88"/>
      <c r="BR70" s="88"/>
      <c r="BS70" s="89"/>
    </row>
    <row r="71" spans="34:71" ht="14.4" thickBot="1" x14ac:dyDescent="0.3">
      <c r="AH71" s="88"/>
      <c r="AI71" s="88"/>
      <c r="AJ71" s="182"/>
      <c r="AK71" s="115"/>
      <c r="AL71" s="115"/>
      <c r="AM71" s="116">
        <f>AK47-1</f>
        <v>0.9144797147560042</v>
      </c>
      <c r="AN71" s="117">
        <f>AN65</f>
        <v>1</v>
      </c>
      <c r="AO71" s="118"/>
      <c r="AP71" s="89"/>
      <c r="AQ71" s="88"/>
      <c r="AR71" s="88"/>
      <c r="AS71" s="88"/>
      <c r="AV71" s="89"/>
      <c r="AW71" s="89"/>
      <c r="AY71" s="89"/>
      <c r="BC71" s="89"/>
      <c r="BD71" s="89"/>
      <c r="BE71" s="89"/>
      <c r="BF71" s="89"/>
      <c r="BH71" s="88"/>
      <c r="BI71" s="182"/>
      <c r="BJ71" s="115"/>
      <c r="BK71" s="115"/>
      <c r="BL71" s="116">
        <f>BJ47-1</f>
        <v>1.3530202852439981</v>
      </c>
      <c r="BM71" s="117">
        <f>BM65</f>
        <v>1</v>
      </c>
      <c r="BN71" s="118"/>
      <c r="BO71" s="89"/>
      <c r="BP71" s="88"/>
      <c r="BQ71" s="88"/>
      <c r="BR71" s="88"/>
      <c r="BS71" s="89"/>
    </row>
    <row r="72" spans="34:71" ht="14.4" thickBot="1" x14ac:dyDescent="0.3">
      <c r="AH72" s="88"/>
      <c r="AI72" s="88"/>
      <c r="AJ72" s="182"/>
      <c r="AK72" s="119"/>
      <c r="AL72" s="119"/>
      <c r="AM72" s="119"/>
      <c r="AN72" s="88"/>
      <c r="AO72" s="88"/>
      <c r="AP72" s="89"/>
      <c r="AQ72" s="88"/>
      <c r="AR72" s="168" t="s">
        <v>114</v>
      </c>
      <c r="AS72" s="169"/>
      <c r="AV72" s="89"/>
      <c r="AW72" s="89"/>
      <c r="AY72" s="89"/>
      <c r="BC72" s="89"/>
      <c r="BD72" s="89"/>
      <c r="BE72" s="89"/>
      <c r="BF72" s="89"/>
      <c r="BH72" s="88"/>
      <c r="BI72" s="182"/>
      <c r="BJ72" s="119"/>
      <c r="BK72" s="119"/>
      <c r="BL72" s="119"/>
      <c r="BM72" s="88"/>
      <c r="BN72" s="88"/>
      <c r="BO72" s="89"/>
      <c r="BP72" s="88"/>
      <c r="BQ72" s="168" t="s">
        <v>114</v>
      </c>
      <c r="BR72" s="169"/>
      <c r="BS72" s="89"/>
    </row>
    <row r="73" spans="34:71" x14ac:dyDescent="0.25">
      <c r="AH73" s="88"/>
      <c r="AI73" s="88"/>
      <c r="AJ73" s="182"/>
      <c r="AK73" s="176" t="s">
        <v>133</v>
      </c>
      <c r="AL73" s="176"/>
      <c r="AM73" s="94"/>
      <c r="AN73" s="95">
        <v>1</v>
      </c>
      <c r="AO73" s="96" t="s">
        <v>134</v>
      </c>
      <c r="AP73" s="89"/>
      <c r="AQ73" s="177" t="str">
        <f>IF(AND(2&lt;AK47,AK47&lt;=3),"OK","NG")</f>
        <v>NG</v>
      </c>
      <c r="AR73" s="97" t="s">
        <v>135</v>
      </c>
      <c r="AS73" s="98">
        <f>(AN73+2)*AO74*0.5</f>
        <v>6.7251355068503678</v>
      </c>
      <c r="AV73" s="89"/>
      <c r="AW73" s="89"/>
      <c r="AY73" s="89"/>
      <c r="BC73" s="89"/>
      <c r="BD73" s="89"/>
      <c r="BE73" s="89"/>
      <c r="BF73" s="89"/>
      <c r="BH73" s="88"/>
      <c r="BI73" s="182"/>
      <c r="BJ73" s="176" t="s">
        <v>133</v>
      </c>
      <c r="BK73" s="176"/>
      <c r="BL73" s="94"/>
      <c r="BM73" s="95">
        <v>1</v>
      </c>
      <c r="BN73" s="96" t="s">
        <v>134</v>
      </c>
      <c r="BO73" s="89"/>
      <c r="BP73" s="177" t="str">
        <f>IF(AND(2&lt;BJ47,BJ47&lt;=3),"OK","NG")</f>
        <v>OK</v>
      </c>
      <c r="BQ73" s="97" t="s">
        <v>135</v>
      </c>
      <c r="BR73" s="98">
        <f>(BM73+2)*BN74*0.5</f>
        <v>6.4300588061257908</v>
      </c>
      <c r="BS73" s="89"/>
    </row>
    <row r="74" spans="34:71" x14ac:dyDescent="0.25">
      <c r="AH74" s="88"/>
      <c r="AI74" s="88"/>
      <c r="AJ74" s="182"/>
      <c r="AK74" s="166"/>
      <c r="AL74" s="166"/>
      <c r="AM74" s="163"/>
      <c r="AN74" s="102"/>
      <c r="AO74" s="103">
        <f>AL47/(AK47-1)</f>
        <v>4.4834236712335782</v>
      </c>
      <c r="AP74" s="89"/>
      <c r="AQ74" s="179"/>
      <c r="AR74" s="97" t="s">
        <v>137</v>
      </c>
      <c r="AS74" s="98">
        <f>(2+AN77+AM77)*AO75*0.5</f>
        <v>-0.75045209160055926</v>
      </c>
      <c r="AV74" s="89"/>
      <c r="AW74" s="89"/>
      <c r="AY74" s="89"/>
      <c r="AZ74" s="89"/>
      <c r="BA74" s="89"/>
      <c r="BB74" s="89"/>
      <c r="BC74" s="89"/>
      <c r="BD74" s="89"/>
      <c r="BE74" s="89"/>
      <c r="BF74" s="89"/>
      <c r="BH74" s="88"/>
      <c r="BI74" s="182"/>
      <c r="BJ74" s="166"/>
      <c r="BK74" s="166"/>
      <c r="BL74" s="163"/>
      <c r="BM74" s="102"/>
      <c r="BN74" s="103">
        <f>BK47/(BJ47-1)</f>
        <v>4.2867058707505272</v>
      </c>
      <c r="BO74" s="89"/>
      <c r="BP74" s="179"/>
      <c r="BQ74" s="97" t="s">
        <v>137</v>
      </c>
      <c r="BR74" s="98">
        <f>(2+BM77+BL77)*BN75*0.5</f>
        <v>3.2937000210818033</v>
      </c>
      <c r="BS74" s="89"/>
    </row>
    <row r="75" spans="34:71" x14ac:dyDescent="0.25">
      <c r="AH75" s="88"/>
      <c r="AI75" s="88"/>
      <c r="AJ75" s="182"/>
      <c r="AK75" s="166"/>
      <c r="AL75" s="166"/>
      <c r="AM75" s="163"/>
      <c r="AN75" s="124">
        <v>1</v>
      </c>
      <c r="AO75" s="180">
        <f>AL47-AO74</f>
        <v>-0.38342367123357857</v>
      </c>
      <c r="AP75" s="89"/>
      <c r="AQ75" s="89"/>
      <c r="AR75" s="89"/>
      <c r="AS75" s="89"/>
      <c r="AV75" s="89"/>
      <c r="AW75" s="89"/>
      <c r="AY75" s="89"/>
      <c r="AZ75" s="89"/>
      <c r="BA75" s="89"/>
      <c r="BB75" s="89"/>
      <c r="BC75" s="89"/>
      <c r="BD75" s="89"/>
      <c r="BE75" s="89"/>
      <c r="BF75" s="89"/>
      <c r="BH75" s="88"/>
      <c r="BI75" s="182"/>
      <c r="BJ75" s="166"/>
      <c r="BK75" s="166"/>
      <c r="BL75" s="163"/>
      <c r="BM75" s="124">
        <v>1</v>
      </c>
      <c r="BN75" s="180">
        <f>BK47-BN74</f>
        <v>1.5132941292494726</v>
      </c>
      <c r="BO75" s="89"/>
      <c r="BP75" s="89"/>
      <c r="BQ75" s="89"/>
      <c r="BR75" s="89"/>
      <c r="BS75" s="89"/>
    </row>
    <row r="76" spans="34:71" x14ac:dyDescent="0.25">
      <c r="AH76" s="88"/>
      <c r="AI76" s="88"/>
      <c r="AJ76" s="182"/>
      <c r="AK76" s="166"/>
      <c r="AL76" s="166"/>
      <c r="AM76" s="164"/>
      <c r="AN76" s="108"/>
      <c r="AO76" s="167"/>
      <c r="AP76" s="89"/>
      <c r="AQ76" s="89"/>
      <c r="AR76" s="89"/>
      <c r="AS76" s="89"/>
      <c r="BH76" s="88"/>
      <c r="BI76" s="182"/>
      <c r="BJ76" s="166"/>
      <c r="BK76" s="166"/>
      <c r="BL76" s="164"/>
      <c r="BM76" s="108"/>
      <c r="BN76" s="167"/>
      <c r="BO76" s="89"/>
      <c r="BP76" s="89"/>
      <c r="BQ76" s="89"/>
      <c r="BR76" s="89"/>
      <c r="BS76" s="89"/>
    </row>
    <row r="77" spans="34:71" ht="14.4" thickBot="1" x14ac:dyDescent="0.3">
      <c r="AH77" s="88"/>
      <c r="AI77" s="88"/>
      <c r="AJ77" s="183"/>
      <c r="AK77" s="115"/>
      <c r="AL77" s="115"/>
      <c r="AM77" s="116">
        <f>AK47-1</f>
        <v>0.9144797147560042</v>
      </c>
      <c r="AN77" s="117">
        <f>AN73</f>
        <v>1</v>
      </c>
      <c r="AO77" s="118"/>
      <c r="AP77" s="89"/>
      <c r="AQ77" s="89"/>
      <c r="AR77" s="89"/>
      <c r="AS77" s="89"/>
      <c r="BH77" s="88"/>
      <c r="BI77" s="183"/>
      <c r="BJ77" s="115"/>
      <c r="BK77" s="115"/>
      <c r="BL77" s="116">
        <f>BJ47-1</f>
        <v>1.3530202852439981</v>
      </c>
      <c r="BM77" s="117">
        <f>BM73</f>
        <v>1</v>
      </c>
      <c r="BN77" s="118"/>
      <c r="BO77" s="89"/>
      <c r="BP77" s="89"/>
      <c r="BQ77" s="89"/>
      <c r="BR77" s="89"/>
      <c r="BS77" s="89"/>
    </row>
    <row r="78" spans="34:71" x14ac:dyDescent="0.25">
      <c r="AH78" s="88"/>
      <c r="AI78" s="88"/>
      <c r="AJ78" s="88"/>
      <c r="AK78" s="88"/>
      <c r="AL78" s="88"/>
      <c r="AM78" s="88"/>
      <c r="AN78" s="88"/>
      <c r="AO78" s="89"/>
      <c r="AP78" s="89"/>
      <c r="AQ78" s="89"/>
      <c r="AR78" s="89"/>
      <c r="AS78" s="89"/>
      <c r="BH78" s="88"/>
      <c r="BI78" s="88"/>
      <c r="BJ78" s="88"/>
      <c r="BK78" s="88"/>
      <c r="BL78" s="88"/>
      <c r="BM78" s="88"/>
      <c r="BN78" s="89"/>
      <c r="BO78" s="89"/>
      <c r="BP78" s="89"/>
      <c r="BQ78" s="89"/>
      <c r="BR78" s="89"/>
      <c r="BS78" s="89"/>
    </row>
    <row r="79" spans="34:71" ht="14.4" thickBot="1" x14ac:dyDescent="0.3">
      <c r="AH79" s="88"/>
      <c r="AI79" s="120"/>
      <c r="AJ79" s="120"/>
      <c r="AK79" s="120"/>
      <c r="AL79" s="120"/>
      <c r="AM79" s="120"/>
      <c r="AN79" s="120"/>
      <c r="AO79" s="121"/>
      <c r="AP79" s="121"/>
      <c r="AQ79" s="121"/>
      <c r="AR79" s="121"/>
      <c r="AS79" s="121"/>
      <c r="BH79" s="120"/>
      <c r="BI79" s="120"/>
      <c r="BJ79" s="120"/>
      <c r="BK79" s="120"/>
      <c r="BL79" s="120"/>
      <c r="BM79" s="120"/>
      <c r="BN79" s="121"/>
      <c r="BO79" s="121"/>
      <c r="BP79" s="121"/>
      <c r="BQ79" s="121"/>
      <c r="BR79" s="121"/>
      <c r="BS79" s="89"/>
    </row>
    <row r="80" spans="34:71" ht="15" thickTop="1" thickBot="1" x14ac:dyDescent="0.3">
      <c r="AH80" s="88"/>
      <c r="AI80" s="88"/>
      <c r="AJ80" s="88"/>
      <c r="AK80" s="88"/>
      <c r="AL80" s="88"/>
      <c r="AM80" s="88"/>
      <c r="AN80" s="88"/>
      <c r="AO80" s="89"/>
      <c r="AP80" s="89"/>
      <c r="AQ80" s="90"/>
      <c r="AR80" s="170" t="s">
        <v>114</v>
      </c>
      <c r="AS80" s="171"/>
      <c r="BH80" s="88"/>
      <c r="BI80" s="88"/>
      <c r="BJ80" s="88"/>
      <c r="BK80" s="88"/>
      <c r="BL80" s="88"/>
      <c r="BM80" s="88"/>
      <c r="BN80" s="89"/>
      <c r="BO80" s="89"/>
      <c r="BP80" s="90"/>
      <c r="BQ80" s="170" t="s">
        <v>114</v>
      </c>
      <c r="BR80" s="171"/>
      <c r="BS80" s="89"/>
    </row>
    <row r="81" spans="34:71" x14ac:dyDescent="0.25">
      <c r="AH81" s="88"/>
      <c r="AI81" s="88"/>
      <c r="AJ81" s="181" t="s">
        <v>141</v>
      </c>
      <c r="AK81" s="176" t="s">
        <v>133</v>
      </c>
      <c r="AL81" s="176"/>
      <c r="AM81" s="94"/>
      <c r="AN81" s="95">
        <f>SQRT((0.68-0.35)^2+1)</f>
        <v>1.0530432089900206</v>
      </c>
      <c r="AO81" s="96" t="s">
        <v>134</v>
      </c>
      <c r="AP81" s="89"/>
      <c r="AQ81" s="177" t="str">
        <f>IF(AND(3&lt;AK47,AK47&lt;=5),"OK","NG")</f>
        <v>NG</v>
      </c>
      <c r="AR81" s="97" t="s">
        <v>135</v>
      </c>
      <c r="AS81" s="98">
        <f>(AN81+2)*AO82*0.5</f>
        <v>6.1417430173017511</v>
      </c>
      <c r="BH81" s="88"/>
      <c r="BI81" s="181" t="s">
        <v>141</v>
      </c>
      <c r="BJ81" s="176" t="s">
        <v>133</v>
      </c>
      <c r="BK81" s="176"/>
      <c r="BL81" s="94"/>
      <c r="BM81" s="95">
        <f>SQRT((0.68-0.35)^2+1)</f>
        <v>1.0530432089900206</v>
      </c>
      <c r="BN81" s="96" t="s">
        <v>134</v>
      </c>
      <c r="BO81" s="89"/>
      <c r="BP81" s="177" t="str">
        <f>IF(AND(3&lt;BJ47,BJ47&lt;=5),"OK","NG")</f>
        <v>NG</v>
      </c>
      <c r="BQ81" s="97" t="s">
        <v>135</v>
      </c>
      <c r="BR81" s="98">
        <f>(BM81+2)*BN82*0.5</f>
        <v>5.8743340615117869</v>
      </c>
      <c r="BS81" s="89"/>
    </row>
    <row r="82" spans="34:71" x14ac:dyDescent="0.25">
      <c r="AH82" s="88"/>
      <c r="AI82" s="88"/>
      <c r="AJ82" s="182"/>
      <c r="AK82" s="166"/>
      <c r="AL82" s="166"/>
      <c r="AM82" s="163"/>
      <c r="AN82" s="102"/>
      <c r="AO82" s="103">
        <f>AN83*AL47/AM87</f>
        <v>4.0233580705420184</v>
      </c>
      <c r="AP82" s="89"/>
      <c r="AQ82" s="178"/>
      <c r="AR82" s="97" t="s">
        <v>137</v>
      </c>
      <c r="AS82" s="98">
        <f>(2+3)*AO83*0.5</f>
        <v>10.621810067624349</v>
      </c>
      <c r="BH82" s="88"/>
      <c r="BI82" s="182"/>
      <c r="BJ82" s="166"/>
      <c r="BK82" s="166"/>
      <c r="BL82" s="163"/>
      <c r="BM82" s="102"/>
      <c r="BN82" s="103">
        <f>BM83*BK47/BL87</f>
        <v>3.848182720908873</v>
      </c>
      <c r="BO82" s="89"/>
      <c r="BP82" s="178"/>
      <c r="BQ82" s="97" t="s">
        <v>137</v>
      </c>
      <c r="BR82" s="98">
        <f>(2+3)*BN83*0.5</f>
        <v>10.159340841741532</v>
      </c>
      <c r="BS82" s="89"/>
    </row>
    <row r="83" spans="34:71" x14ac:dyDescent="0.25">
      <c r="AH83" s="88"/>
      <c r="AI83" s="88"/>
      <c r="AJ83" s="182"/>
      <c r="AK83" s="166"/>
      <c r="AL83" s="166"/>
      <c r="AM83" s="163"/>
      <c r="AN83" s="125">
        <f>2-AN81</f>
        <v>0.94695679100997943</v>
      </c>
      <c r="AO83" s="180">
        <f>AN85*AL47/AM87-AO82</f>
        <v>4.2487240270497395</v>
      </c>
      <c r="AP83" s="89"/>
      <c r="AQ83" s="179"/>
      <c r="AR83" s="97" t="s">
        <v>138</v>
      </c>
      <c r="AS83" s="98">
        <f>(3+AN87+AM87)*AO85*0.5</f>
        <v>-10.467834944070622</v>
      </c>
      <c r="BH83" s="88"/>
      <c r="BI83" s="182"/>
      <c r="BJ83" s="166"/>
      <c r="BK83" s="166"/>
      <c r="BL83" s="163"/>
      <c r="BM83" s="125">
        <f>2-BM81</f>
        <v>0.94695679100997943</v>
      </c>
      <c r="BN83" s="180">
        <f>BM85*BK47/BL87-BN82</f>
        <v>4.0637363366966124</v>
      </c>
      <c r="BO83" s="89"/>
      <c r="BP83" s="179"/>
      <c r="BQ83" s="97" t="s">
        <v>138</v>
      </c>
      <c r="BR83" s="98">
        <f>(3+BM87+BL87)*BN85*0.5</f>
        <v>-5.7869762312971424</v>
      </c>
      <c r="BS83" s="89"/>
    </row>
    <row r="84" spans="34:71" x14ac:dyDescent="0.25">
      <c r="AH84" s="88"/>
      <c r="AI84" s="88"/>
      <c r="AJ84" s="182"/>
      <c r="AK84" s="166"/>
      <c r="AL84" s="166"/>
      <c r="AM84" s="163"/>
      <c r="AN84" s="126"/>
      <c r="AO84" s="180"/>
      <c r="AP84" s="89"/>
      <c r="AQ84" s="88"/>
      <c r="AR84" s="88"/>
      <c r="AS84" s="88"/>
      <c r="BH84" s="88"/>
      <c r="BI84" s="182"/>
      <c r="BJ84" s="166"/>
      <c r="BK84" s="166"/>
      <c r="BL84" s="163"/>
      <c r="BM84" s="126"/>
      <c r="BN84" s="180"/>
      <c r="BO84" s="89"/>
      <c r="BP84" s="88"/>
      <c r="BQ84" s="88"/>
      <c r="BR84" s="88"/>
      <c r="BS84" s="89"/>
    </row>
    <row r="85" spans="34:71" x14ac:dyDescent="0.25">
      <c r="AH85" s="88"/>
      <c r="AI85" s="88"/>
      <c r="AJ85" s="182"/>
      <c r="AK85" s="166"/>
      <c r="AL85" s="166"/>
      <c r="AM85" s="163"/>
      <c r="AN85" s="105">
        <f>3-AN81</f>
        <v>1.9469567910099794</v>
      </c>
      <c r="AO85" s="180">
        <f>AL47-SUM(AO82:AO84)</f>
        <v>-4.1720820975917583</v>
      </c>
      <c r="AP85" s="89"/>
      <c r="AQ85" s="88"/>
      <c r="AR85" s="88"/>
      <c r="AS85" s="88"/>
      <c r="BH85" s="88"/>
      <c r="BI85" s="182"/>
      <c r="BJ85" s="166"/>
      <c r="BK85" s="166"/>
      <c r="BL85" s="163"/>
      <c r="BM85" s="105">
        <f>3-BM81</f>
        <v>1.9469567910099794</v>
      </c>
      <c r="BN85" s="180">
        <f>BK47-SUM(BN82:BN84)</f>
        <v>-2.111919057605486</v>
      </c>
      <c r="BO85" s="89"/>
      <c r="BP85" s="88"/>
      <c r="BQ85" s="88"/>
      <c r="BR85" s="88"/>
      <c r="BS85" s="89"/>
    </row>
    <row r="86" spans="34:71" x14ac:dyDescent="0.25">
      <c r="AH86" s="88"/>
      <c r="AI86" s="88"/>
      <c r="AJ86" s="182"/>
      <c r="AK86" s="166"/>
      <c r="AL86" s="166"/>
      <c r="AM86" s="164"/>
      <c r="AN86" s="108"/>
      <c r="AO86" s="180"/>
      <c r="AP86" s="89"/>
      <c r="AQ86" s="88"/>
      <c r="AR86" s="88"/>
      <c r="AS86" s="88"/>
      <c r="BH86" s="88"/>
      <c r="BI86" s="182"/>
      <c r="BJ86" s="166"/>
      <c r="BK86" s="166"/>
      <c r="BL86" s="164"/>
      <c r="BM86" s="108"/>
      <c r="BN86" s="180"/>
      <c r="BO86" s="89"/>
      <c r="BP86" s="88"/>
      <c r="BQ86" s="88"/>
      <c r="BR86" s="88"/>
      <c r="BS86" s="89"/>
    </row>
    <row r="87" spans="34:71" ht="14.4" thickBot="1" x14ac:dyDescent="0.3">
      <c r="AH87" s="88"/>
      <c r="AI87" s="88"/>
      <c r="AJ87" s="182"/>
      <c r="AK87" s="115"/>
      <c r="AL87" s="115"/>
      <c r="AM87" s="116">
        <f>SQRT((AO47-AP47)^2+AK47^2)-AN87</f>
        <v>0.96499560194946055</v>
      </c>
      <c r="AN87" s="117">
        <f>AN81</f>
        <v>1.0530432089900206</v>
      </c>
      <c r="AO87" s="118"/>
      <c r="AP87" s="89"/>
      <c r="AQ87" s="88"/>
      <c r="AR87" s="88"/>
      <c r="AS87" s="88"/>
      <c r="BH87" s="88"/>
      <c r="BI87" s="182"/>
      <c r="BJ87" s="115"/>
      <c r="BK87" s="115"/>
      <c r="BL87" s="116">
        <f>SQRT((BN47-BO47)^2+BJ47^2)-BM87</f>
        <v>1.4272579516600201</v>
      </c>
      <c r="BM87" s="117">
        <f>BM81</f>
        <v>1.0530432089900206</v>
      </c>
      <c r="BN87" s="118"/>
      <c r="BO87" s="89"/>
      <c r="BP87" s="88"/>
      <c r="BQ87" s="88"/>
      <c r="BR87" s="88"/>
      <c r="BS87" s="89"/>
    </row>
    <row r="88" spans="34:71" ht="14.4" thickBot="1" x14ac:dyDescent="0.3">
      <c r="AH88" s="88"/>
      <c r="AI88" s="88"/>
      <c r="AJ88" s="182"/>
      <c r="AK88" s="119"/>
      <c r="AL88" s="119"/>
      <c r="AM88" s="119"/>
      <c r="AN88" s="88"/>
      <c r="AO88" s="88"/>
      <c r="AP88" s="89"/>
      <c r="AQ88" s="88"/>
      <c r="AR88" s="168" t="s">
        <v>114</v>
      </c>
      <c r="AS88" s="169"/>
      <c r="BH88" s="88"/>
      <c r="BI88" s="182"/>
      <c r="BJ88" s="119"/>
      <c r="BK88" s="119"/>
      <c r="BL88" s="119"/>
      <c r="BM88" s="88"/>
      <c r="BN88" s="88"/>
      <c r="BO88" s="89"/>
      <c r="BP88" s="88"/>
      <c r="BQ88" s="168" t="s">
        <v>114</v>
      </c>
      <c r="BR88" s="169"/>
      <c r="BS88" s="89"/>
    </row>
    <row r="89" spans="34:71" x14ac:dyDescent="0.25">
      <c r="AH89" s="88"/>
      <c r="AI89" s="88"/>
      <c r="AJ89" s="182"/>
      <c r="AK89" s="176" t="s">
        <v>133</v>
      </c>
      <c r="AL89" s="176"/>
      <c r="AM89" s="94"/>
      <c r="AN89" s="95">
        <f>SQRT((0.68-0.35)^2+1)</f>
        <v>1.0530432089900206</v>
      </c>
      <c r="AO89" s="96" t="s">
        <v>134</v>
      </c>
      <c r="AP89" s="89"/>
      <c r="AQ89" s="177" t="str">
        <f>IF(AND(2&lt;AK47,AK47&lt;=3),"OK","NG")</f>
        <v>NG</v>
      </c>
      <c r="AR89" s="97" t="s">
        <v>135</v>
      </c>
      <c r="AS89" s="98">
        <f>(AN89+2)*AO90*0.5</f>
        <v>6.1417430173017511</v>
      </c>
      <c r="BH89" s="88"/>
      <c r="BI89" s="182"/>
      <c r="BJ89" s="176" t="s">
        <v>133</v>
      </c>
      <c r="BK89" s="176"/>
      <c r="BL89" s="94"/>
      <c r="BM89" s="95">
        <f>SQRT((0.68-0.35)^2+1)</f>
        <v>1.0530432089900206</v>
      </c>
      <c r="BN89" s="96" t="s">
        <v>134</v>
      </c>
      <c r="BO89" s="89"/>
      <c r="BP89" s="177" t="str">
        <f>IF(AND(2&lt;BJ47,BJ47&lt;=3),"OK","NG")</f>
        <v>OK</v>
      </c>
      <c r="BQ89" s="97" t="s">
        <v>135</v>
      </c>
      <c r="BR89" s="98">
        <f>(BM89+2)*BN90*0.5</f>
        <v>5.8743340615117869</v>
      </c>
      <c r="BS89" s="89"/>
    </row>
    <row r="90" spans="34:71" x14ac:dyDescent="0.25">
      <c r="AH90" s="88"/>
      <c r="AI90" s="88"/>
      <c r="AJ90" s="182"/>
      <c r="AK90" s="166"/>
      <c r="AL90" s="166"/>
      <c r="AM90" s="163"/>
      <c r="AN90" s="102"/>
      <c r="AO90" s="103">
        <f>AN91*AL47/AM93</f>
        <v>4.0233580705420184</v>
      </c>
      <c r="AP90" s="89"/>
      <c r="AQ90" s="179"/>
      <c r="AR90" s="97" t="s">
        <v>137</v>
      </c>
      <c r="AS90" s="98">
        <f>(2+AN93+AM93)*AO91*0.5</f>
        <v>0.15397512355372722</v>
      </c>
      <c r="BH90" s="88"/>
      <c r="BI90" s="182"/>
      <c r="BJ90" s="166"/>
      <c r="BK90" s="166"/>
      <c r="BL90" s="163"/>
      <c r="BM90" s="102"/>
      <c r="BN90" s="103">
        <f>BM91*BK47/BL93</f>
        <v>3.848182720908873</v>
      </c>
      <c r="BO90" s="89"/>
      <c r="BP90" s="179"/>
      <c r="BQ90" s="97" t="s">
        <v>137</v>
      </c>
      <c r="BR90" s="98">
        <f>(2+BM93+BL93)*BN91*0.5</f>
        <v>4.3723646104443903</v>
      </c>
      <c r="BS90" s="89"/>
    </row>
    <row r="91" spans="34:71" x14ac:dyDescent="0.25">
      <c r="AH91" s="88"/>
      <c r="AI91" s="88"/>
      <c r="AJ91" s="182"/>
      <c r="AK91" s="166"/>
      <c r="AL91" s="166"/>
      <c r="AM91" s="163"/>
      <c r="AN91" s="105">
        <f>2-AN89</f>
        <v>0.94695679100997943</v>
      </c>
      <c r="AO91" s="180">
        <f>AL47-AO90</f>
        <v>7.6641929457981206E-2</v>
      </c>
      <c r="AP91" s="89"/>
      <c r="AQ91" s="89"/>
      <c r="AR91" s="89"/>
      <c r="AS91" s="89"/>
      <c r="BH91" s="88"/>
      <c r="BI91" s="182"/>
      <c r="BJ91" s="166"/>
      <c r="BK91" s="166"/>
      <c r="BL91" s="163"/>
      <c r="BM91" s="105">
        <f>2-BM89</f>
        <v>0.94695679100997943</v>
      </c>
      <c r="BN91" s="180">
        <f>BK47-BN90</f>
        <v>1.9518172790911268</v>
      </c>
      <c r="BO91" s="89"/>
      <c r="BP91" s="89"/>
      <c r="BQ91" s="89"/>
      <c r="BR91" s="89"/>
      <c r="BS91" s="89"/>
    </row>
    <row r="92" spans="34:71" x14ac:dyDescent="0.25">
      <c r="AH92" s="88"/>
      <c r="AI92" s="88"/>
      <c r="AJ92" s="182"/>
      <c r="AK92" s="166"/>
      <c r="AL92" s="166"/>
      <c r="AM92" s="164"/>
      <c r="AN92" s="108"/>
      <c r="AO92" s="167"/>
      <c r="AP92" s="89"/>
      <c r="AQ92" s="89"/>
      <c r="AR92" s="89"/>
      <c r="AS92" s="89"/>
      <c r="BH92" s="88"/>
      <c r="BI92" s="182"/>
      <c r="BJ92" s="166"/>
      <c r="BK92" s="166"/>
      <c r="BL92" s="164"/>
      <c r="BM92" s="108"/>
      <c r="BN92" s="167"/>
      <c r="BO92" s="89"/>
      <c r="BP92" s="89"/>
      <c r="BQ92" s="89"/>
      <c r="BR92" s="89"/>
      <c r="BS92" s="89"/>
    </row>
    <row r="93" spans="34:71" ht="14.4" thickBot="1" x14ac:dyDescent="0.3">
      <c r="AH93" s="88"/>
      <c r="AI93" s="88"/>
      <c r="AJ93" s="183"/>
      <c r="AK93" s="115"/>
      <c r="AL93" s="115"/>
      <c r="AM93" s="116">
        <f>SQRT((AO47-AP47)^2+AK47^2)-AN87</f>
        <v>0.96499560194946055</v>
      </c>
      <c r="AN93" s="117">
        <f>AN89</f>
        <v>1.0530432089900206</v>
      </c>
      <c r="AO93" s="118"/>
      <c r="AP93" s="89"/>
      <c r="AQ93" s="89"/>
      <c r="AR93" s="89"/>
      <c r="AS93" s="89"/>
      <c r="BH93" s="88"/>
      <c r="BI93" s="183"/>
      <c r="BJ93" s="115"/>
      <c r="BK93" s="115"/>
      <c r="BL93" s="116">
        <f>SQRT((BN47-BO47)^2+BJ47^2)-BM87</f>
        <v>1.4272579516600201</v>
      </c>
      <c r="BM93" s="117">
        <f>BM89</f>
        <v>1.0530432089900206</v>
      </c>
      <c r="BN93" s="118"/>
      <c r="BO93" s="89"/>
      <c r="BP93" s="89"/>
      <c r="BQ93" s="89"/>
      <c r="BR93" s="89"/>
      <c r="BS93" s="89"/>
    </row>
    <row r="94" spans="34:71" ht="14.4" thickBot="1" x14ac:dyDescent="0.3">
      <c r="AH94" s="88"/>
      <c r="AI94" s="120"/>
      <c r="AJ94" s="120"/>
      <c r="AK94" s="120"/>
      <c r="AL94" s="120"/>
      <c r="AM94" s="120"/>
      <c r="AN94" s="120"/>
      <c r="AO94" s="121"/>
      <c r="AP94" s="121"/>
      <c r="AQ94" s="121"/>
      <c r="AR94" s="121"/>
      <c r="AS94" s="121"/>
      <c r="BH94" s="120"/>
      <c r="BI94" s="120"/>
      <c r="BJ94" s="120"/>
      <c r="BK94" s="120"/>
      <c r="BL94" s="120"/>
      <c r="BM94" s="120"/>
      <c r="BN94" s="121"/>
      <c r="BO94" s="121"/>
      <c r="BP94" s="121"/>
      <c r="BQ94" s="121"/>
      <c r="BR94" s="121"/>
      <c r="BS94" s="89"/>
    </row>
    <row r="95" spans="34:71" ht="15" thickTop="1" thickBot="1" x14ac:dyDescent="0.3">
      <c r="AH95" s="88"/>
      <c r="AI95" s="88"/>
      <c r="AJ95" s="88"/>
      <c r="AK95" s="88"/>
      <c r="AL95" s="88"/>
      <c r="AM95" s="88"/>
      <c r="AN95" s="88"/>
      <c r="AO95" s="89"/>
      <c r="AP95" s="89"/>
      <c r="AQ95" s="90"/>
      <c r="AR95" s="170" t="s">
        <v>114</v>
      </c>
      <c r="AS95" s="171"/>
      <c r="BH95" s="88"/>
      <c r="BI95" s="88"/>
      <c r="BJ95" s="88"/>
      <c r="BK95" s="88"/>
      <c r="BL95" s="88"/>
      <c r="BM95" s="88"/>
      <c r="BN95" s="89"/>
      <c r="BO95" s="89"/>
      <c r="BP95" s="90"/>
      <c r="BQ95" s="170" t="s">
        <v>114</v>
      </c>
      <c r="BR95" s="171"/>
      <c r="BS95" s="89"/>
    </row>
    <row r="96" spans="34:71" x14ac:dyDescent="0.25">
      <c r="AH96" s="88"/>
      <c r="AI96" s="88"/>
      <c r="AJ96" s="181" t="s">
        <v>142</v>
      </c>
      <c r="AK96" s="176" t="s">
        <v>133</v>
      </c>
      <c r="AL96" s="176"/>
      <c r="AM96" s="94"/>
      <c r="AN96" s="95">
        <v>1</v>
      </c>
      <c r="AO96" s="96" t="s">
        <v>134</v>
      </c>
      <c r="AP96" s="89"/>
      <c r="AQ96" s="177" t="str">
        <f>IF(AND(3&lt;AK47,AK47&lt;=5),"OK","NG")</f>
        <v>NG</v>
      </c>
      <c r="AR96" s="97" t="s">
        <v>135</v>
      </c>
      <c r="AS96" s="98">
        <f>(AN96+2)*AO97*0.5</f>
        <v>4.9208308586710006</v>
      </c>
      <c r="BH96" s="88"/>
      <c r="BI96" s="181" t="s">
        <v>142</v>
      </c>
      <c r="BJ96" s="176" t="s">
        <v>133</v>
      </c>
      <c r="BK96" s="176"/>
      <c r="BL96" s="94"/>
      <c r="BM96" s="95">
        <v>1</v>
      </c>
      <c r="BN96" s="96" t="s">
        <v>134</v>
      </c>
      <c r="BO96" s="89"/>
      <c r="BP96" s="177" t="str">
        <f>IF(AND(3&lt;BJ47,BJ47&lt;=5),"OK","NG")</f>
        <v>NG</v>
      </c>
      <c r="BQ96" s="97" t="s">
        <v>135</v>
      </c>
      <c r="BR96" s="98">
        <f>(BM96+2)*BN97*0.5</f>
        <v>4.4345233145695113</v>
      </c>
      <c r="BS96" s="89"/>
    </row>
    <row r="97" spans="34:71" x14ac:dyDescent="0.25">
      <c r="AH97" s="88"/>
      <c r="AI97" s="88"/>
      <c r="AJ97" s="182"/>
      <c r="AK97" s="166"/>
      <c r="AL97" s="166"/>
      <c r="AM97" s="163"/>
      <c r="AN97" s="102"/>
      <c r="AO97" s="103">
        <f>AM47/(AK47-1)</f>
        <v>3.2805539057806672</v>
      </c>
      <c r="AP97" s="89"/>
      <c r="AQ97" s="178"/>
      <c r="AR97" s="97" t="s">
        <v>137</v>
      </c>
      <c r="AS97" s="98">
        <f>(2+3)*AO98*0.5</f>
        <v>8.2013847644516673</v>
      </c>
      <c r="BH97" s="88"/>
      <c r="BI97" s="182"/>
      <c r="BJ97" s="166"/>
      <c r="BK97" s="166"/>
      <c r="BL97" s="163"/>
      <c r="BM97" s="102"/>
      <c r="BN97" s="103">
        <f>BL47/(BJ47-1)</f>
        <v>2.9563488763796744</v>
      </c>
      <c r="BO97" s="89"/>
      <c r="BP97" s="178"/>
      <c r="BQ97" s="97" t="s">
        <v>137</v>
      </c>
      <c r="BR97" s="98">
        <f>(2+3)*BN98*0.5</f>
        <v>7.3908721909491861</v>
      </c>
      <c r="BS97" s="89"/>
    </row>
    <row r="98" spans="34:71" x14ac:dyDescent="0.25">
      <c r="AH98" s="88"/>
      <c r="AI98" s="88"/>
      <c r="AJ98" s="182"/>
      <c r="AK98" s="166"/>
      <c r="AL98" s="166"/>
      <c r="AM98" s="163"/>
      <c r="AN98" s="123">
        <v>1</v>
      </c>
      <c r="AO98" s="180">
        <f>2*AM47/(AK47-1)-AO97</f>
        <v>3.2805539057806672</v>
      </c>
      <c r="AP98" s="89"/>
      <c r="AQ98" s="179"/>
      <c r="AR98" s="97" t="s">
        <v>138</v>
      </c>
      <c r="AS98" s="98">
        <f>(3+AN102+AM102)*AO100*0.5</f>
        <v>-8.7504960509886622</v>
      </c>
      <c r="BH98" s="88"/>
      <c r="BI98" s="182"/>
      <c r="BJ98" s="166"/>
      <c r="BK98" s="166"/>
      <c r="BL98" s="163"/>
      <c r="BM98" s="123">
        <v>1</v>
      </c>
      <c r="BN98" s="180">
        <f>2*BL47/(BJ47-1)-BN97</f>
        <v>2.9563488763796744</v>
      </c>
      <c r="BO98" s="89"/>
      <c r="BP98" s="179"/>
      <c r="BQ98" s="97" t="s">
        <v>138</v>
      </c>
      <c r="BR98" s="98">
        <f>(3+BM102+BL102)*BN100*0.5</f>
        <v>-5.1193549350307013</v>
      </c>
      <c r="BS98" s="89"/>
    </row>
    <row r="99" spans="34:71" x14ac:dyDescent="0.25">
      <c r="AH99" s="88"/>
      <c r="AI99" s="88"/>
      <c r="AJ99" s="182"/>
      <c r="AK99" s="166"/>
      <c r="AL99" s="166"/>
      <c r="AM99" s="163"/>
      <c r="AN99" s="108"/>
      <c r="AO99" s="180"/>
      <c r="AP99" s="89"/>
      <c r="AQ99" s="88"/>
      <c r="AR99" s="88"/>
      <c r="AS99" s="88"/>
      <c r="BH99" s="88"/>
      <c r="BI99" s="182"/>
      <c r="BJ99" s="166"/>
      <c r="BK99" s="166"/>
      <c r="BL99" s="163"/>
      <c r="BM99" s="108"/>
      <c r="BN99" s="180"/>
      <c r="BO99" s="89"/>
      <c r="BP99" s="88"/>
      <c r="BQ99" s="88"/>
      <c r="BR99" s="88"/>
      <c r="BS99" s="89"/>
    </row>
    <row r="100" spans="34:71" x14ac:dyDescent="0.25">
      <c r="AH100" s="88"/>
      <c r="AI100" s="88"/>
      <c r="AJ100" s="182"/>
      <c r="AK100" s="166"/>
      <c r="AL100" s="166"/>
      <c r="AM100" s="163"/>
      <c r="AN100" s="124">
        <v>2</v>
      </c>
      <c r="AO100" s="180">
        <f>AM47-SUM(AO97:AO99)</f>
        <v>-3.5611078115613344</v>
      </c>
      <c r="AP100" s="89"/>
      <c r="AQ100" s="88"/>
      <c r="AR100" s="88"/>
      <c r="AS100" s="88"/>
      <c r="BH100" s="88"/>
      <c r="BI100" s="182"/>
      <c r="BJ100" s="166"/>
      <c r="BK100" s="166"/>
      <c r="BL100" s="163"/>
      <c r="BM100" s="124">
        <v>2</v>
      </c>
      <c r="BN100" s="180">
        <f>BL47-SUM(BN97:BN99)</f>
        <v>-1.9126977527593487</v>
      </c>
      <c r="BO100" s="89"/>
      <c r="BP100" s="88"/>
      <c r="BQ100" s="88"/>
      <c r="BR100" s="88"/>
      <c r="BS100" s="89"/>
    </row>
    <row r="101" spans="34:71" x14ac:dyDescent="0.25">
      <c r="AH101" s="88"/>
      <c r="AI101" s="88"/>
      <c r="AJ101" s="182"/>
      <c r="AK101" s="166"/>
      <c r="AL101" s="166"/>
      <c r="AM101" s="164"/>
      <c r="AN101" s="108"/>
      <c r="AO101" s="167"/>
      <c r="AP101" s="89"/>
      <c r="AQ101" s="88"/>
      <c r="AR101" s="88"/>
      <c r="AS101" s="88"/>
      <c r="BH101" s="88"/>
      <c r="BI101" s="182"/>
      <c r="BJ101" s="166"/>
      <c r="BK101" s="166"/>
      <c r="BL101" s="164"/>
      <c r="BM101" s="108"/>
      <c r="BN101" s="167"/>
      <c r="BO101" s="89"/>
      <c r="BP101" s="88"/>
      <c r="BQ101" s="88"/>
      <c r="BR101" s="88"/>
      <c r="BS101" s="89"/>
    </row>
    <row r="102" spans="34:71" ht="14.4" thickBot="1" x14ac:dyDescent="0.3">
      <c r="AH102" s="88"/>
      <c r="AI102" s="88"/>
      <c r="AJ102" s="182"/>
      <c r="AK102" s="115"/>
      <c r="AL102" s="115"/>
      <c r="AM102" s="116">
        <f>AK47-1</f>
        <v>0.9144797147560042</v>
      </c>
      <c r="AN102" s="117">
        <f>AN96</f>
        <v>1</v>
      </c>
      <c r="AO102" s="118"/>
      <c r="AP102" s="89"/>
      <c r="AQ102" s="88"/>
      <c r="AR102" s="88"/>
      <c r="AS102" s="88"/>
      <c r="BH102" s="88"/>
      <c r="BI102" s="182"/>
      <c r="BJ102" s="115"/>
      <c r="BK102" s="115"/>
      <c r="BL102" s="116">
        <f>BJ47-1</f>
        <v>1.3530202852439981</v>
      </c>
      <c r="BM102" s="117">
        <f>BM96</f>
        <v>1</v>
      </c>
      <c r="BN102" s="118"/>
      <c r="BO102" s="89"/>
      <c r="BP102" s="88"/>
      <c r="BQ102" s="88"/>
      <c r="BR102" s="88"/>
      <c r="BS102" s="89"/>
    </row>
    <row r="103" spans="34:71" ht="14.4" thickBot="1" x14ac:dyDescent="0.3">
      <c r="AH103" s="88"/>
      <c r="AI103" s="88"/>
      <c r="AJ103" s="182"/>
      <c r="AK103" s="119"/>
      <c r="AL103" s="119"/>
      <c r="AM103" s="119"/>
      <c r="AN103" s="88"/>
      <c r="AO103" s="88"/>
      <c r="AP103" s="89"/>
      <c r="AQ103" s="88"/>
      <c r="AR103" s="168" t="s">
        <v>114</v>
      </c>
      <c r="AS103" s="169"/>
      <c r="BH103" s="88"/>
      <c r="BI103" s="182"/>
      <c r="BJ103" s="119"/>
      <c r="BK103" s="119"/>
      <c r="BL103" s="119"/>
      <c r="BM103" s="88"/>
      <c r="BN103" s="88"/>
      <c r="BO103" s="89"/>
      <c r="BP103" s="88"/>
      <c r="BQ103" s="168" t="s">
        <v>114</v>
      </c>
      <c r="BR103" s="169"/>
      <c r="BS103" s="89"/>
    </row>
    <row r="104" spans="34:71" x14ac:dyDescent="0.25">
      <c r="AH104" s="88"/>
      <c r="AI104" s="88"/>
      <c r="AJ104" s="182"/>
      <c r="AK104" s="176" t="s">
        <v>133</v>
      </c>
      <c r="AL104" s="176"/>
      <c r="AM104" s="94"/>
      <c r="AN104" s="95">
        <v>1</v>
      </c>
      <c r="AO104" s="96" t="s">
        <v>134</v>
      </c>
      <c r="AP104" s="89"/>
      <c r="AQ104" s="177" t="str">
        <f>IF(AND(2&lt;AK47,AK47&lt;=3),"OK","NG")</f>
        <v>NG</v>
      </c>
      <c r="AR104" s="97" t="s">
        <v>135</v>
      </c>
      <c r="AS104" s="98">
        <f>(AN104+2)*AO105*0.5</f>
        <v>4.9208308586710006</v>
      </c>
      <c r="BH104" s="88"/>
      <c r="BI104" s="182"/>
      <c r="BJ104" s="176" t="s">
        <v>133</v>
      </c>
      <c r="BK104" s="176"/>
      <c r="BL104" s="94"/>
      <c r="BM104" s="95">
        <v>1</v>
      </c>
      <c r="BN104" s="96" t="s">
        <v>134</v>
      </c>
      <c r="BO104" s="89"/>
      <c r="BP104" s="177" t="str">
        <f>IF(AND(2&lt;BJ47,BJ47&lt;=3),"OK","NG")</f>
        <v>OK</v>
      </c>
      <c r="BQ104" s="97" t="s">
        <v>135</v>
      </c>
      <c r="BR104" s="98">
        <f>(BM104+2)*BN105*0.5</f>
        <v>4.4345233145695113</v>
      </c>
      <c r="BS104" s="89"/>
    </row>
    <row r="105" spans="34:71" x14ac:dyDescent="0.25">
      <c r="AH105" s="88"/>
      <c r="AI105" s="88"/>
      <c r="AJ105" s="182"/>
      <c r="AK105" s="166"/>
      <c r="AL105" s="166"/>
      <c r="AM105" s="163"/>
      <c r="AN105" s="102"/>
      <c r="AO105" s="103">
        <f>AM47/(AK47-1)</f>
        <v>3.2805539057806672</v>
      </c>
      <c r="AP105" s="89"/>
      <c r="AQ105" s="179"/>
      <c r="AR105" s="97" t="s">
        <v>137</v>
      </c>
      <c r="AS105" s="98">
        <f>(2+AN108+AM108)*AO106*0.5</f>
        <v>-0.54911128653699448</v>
      </c>
      <c r="BH105" s="88"/>
      <c r="BI105" s="182"/>
      <c r="BJ105" s="166"/>
      <c r="BK105" s="166"/>
      <c r="BL105" s="163"/>
      <c r="BM105" s="102"/>
      <c r="BN105" s="103">
        <f>BL47/(BJ47-1)</f>
        <v>2.9563488763796744</v>
      </c>
      <c r="BO105" s="89"/>
      <c r="BP105" s="179"/>
      <c r="BQ105" s="97" t="s">
        <v>137</v>
      </c>
      <c r="BR105" s="98">
        <f>(2+BM108+BL108)*BN106*0.5</f>
        <v>2.2715172559184844</v>
      </c>
      <c r="BS105" s="89"/>
    </row>
    <row r="106" spans="34:71" x14ac:dyDescent="0.25">
      <c r="AH106" s="88"/>
      <c r="AI106" s="88"/>
      <c r="AJ106" s="182"/>
      <c r="AK106" s="166"/>
      <c r="AL106" s="166"/>
      <c r="AM106" s="163"/>
      <c r="AN106" s="124">
        <v>1</v>
      </c>
      <c r="AO106" s="180">
        <f>AM47-AO105</f>
        <v>-0.28055390578066719</v>
      </c>
      <c r="AP106" s="89"/>
      <c r="AQ106" s="89"/>
      <c r="AR106" s="89"/>
      <c r="AS106" s="89"/>
      <c r="BH106" s="88"/>
      <c r="BI106" s="182"/>
      <c r="BJ106" s="166"/>
      <c r="BK106" s="166"/>
      <c r="BL106" s="163"/>
      <c r="BM106" s="124">
        <v>1</v>
      </c>
      <c r="BN106" s="180">
        <f>BL47-BN105</f>
        <v>1.0436511236203256</v>
      </c>
      <c r="BO106" s="89"/>
      <c r="BP106" s="89"/>
      <c r="BQ106" s="89"/>
      <c r="BR106" s="89"/>
      <c r="BS106" s="89"/>
    </row>
    <row r="107" spans="34:71" x14ac:dyDescent="0.25">
      <c r="AH107" s="88"/>
      <c r="AI107" s="88"/>
      <c r="AJ107" s="182"/>
      <c r="AK107" s="166"/>
      <c r="AL107" s="166"/>
      <c r="AM107" s="164"/>
      <c r="AN107" s="108"/>
      <c r="AO107" s="167"/>
      <c r="AP107" s="89"/>
      <c r="AQ107" s="89"/>
      <c r="AR107" s="89"/>
      <c r="AS107" s="89"/>
      <c r="BH107" s="88"/>
      <c r="BI107" s="182"/>
      <c r="BJ107" s="166"/>
      <c r="BK107" s="166"/>
      <c r="BL107" s="164"/>
      <c r="BM107" s="108"/>
      <c r="BN107" s="167"/>
      <c r="BO107" s="89"/>
      <c r="BP107" s="89"/>
      <c r="BQ107" s="89"/>
      <c r="BR107" s="89"/>
      <c r="BS107" s="89"/>
    </row>
    <row r="108" spans="34:71" ht="14.4" thickBot="1" x14ac:dyDescent="0.3">
      <c r="AH108" s="88"/>
      <c r="AI108" s="88"/>
      <c r="AJ108" s="183"/>
      <c r="AK108" s="115"/>
      <c r="AL108" s="115"/>
      <c r="AM108" s="116">
        <f>AK47-1</f>
        <v>0.9144797147560042</v>
      </c>
      <c r="AN108" s="117">
        <f>AN104</f>
        <v>1</v>
      </c>
      <c r="AO108" s="118"/>
      <c r="AP108" s="89"/>
      <c r="AQ108" s="89"/>
      <c r="AR108" s="89"/>
      <c r="AS108" s="89"/>
      <c r="BH108" s="88"/>
      <c r="BI108" s="183"/>
      <c r="BJ108" s="115"/>
      <c r="BK108" s="115"/>
      <c r="BL108" s="116">
        <f>BJ47-1</f>
        <v>1.3530202852439981</v>
      </c>
      <c r="BM108" s="117">
        <f>BM104</f>
        <v>1</v>
      </c>
      <c r="BN108" s="118"/>
      <c r="BO108" s="89"/>
      <c r="BP108" s="89"/>
      <c r="BQ108" s="89"/>
      <c r="BR108" s="89"/>
      <c r="BS108" s="89"/>
    </row>
    <row r="109" spans="34:71" x14ac:dyDescent="0.25">
      <c r="AH109" s="88"/>
      <c r="AI109" s="88"/>
      <c r="AJ109" s="88"/>
      <c r="AK109" s="88"/>
      <c r="AL109" s="88"/>
      <c r="AM109" s="88"/>
      <c r="AN109" s="88"/>
      <c r="AO109" s="89"/>
      <c r="AP109" s="89"/>
      <c r="AQ109" s="89"/>
      <c r="AR109" s="89"/>
      <c r="AS109" s="89"/>
      <c r="BH109" s="88"/>
      <c r="BI109" s="88"/>
      <c r="BJ109" s="88"/>
      <c r="BK109" s="88"/>
      <c r="BL109" s="88"/>
      <c r="BM109" s="88"/>
      <c r="BN109" s="89"/>
      <c r="BO109" s="89"/>
      <c r="BP109" s="89"/>
      <c r="BQ109" s="89"/>
      <c r="BR109" s="89"/>
      <c r="BS109" s="89"/>
    </row>
    <row r="110" spans="34:71" ht="14.4" thickBot="1" x14ac:dyDescent="0.3">
      <c r="AH110" s="88"/>
      <c r="AI110" s="120"/>
      <c r="AJ110" s="120"/>
      <c r="AK110" s="120"/>
      <c r="AL110" s="120"/>
      <c r="AM110" s="120"/>
      <c r="AN110" s="120"/>
      <c r="AO110" s="121"/>
      <c r="AP110" s="121"/>
      <c r="AQ110" s="121"/>
      <c r="AR110" s="121"/>
      <c r="AS110" s="121"/>
      <c r="BH110" s="120"/>
      <c r="BI110" s="120"/>
      <c r="BJ110" s="120"/>
      <c r="BK110" s="120"/>
      <c r="BL110" s="120"/>
      <c r="BM110" s="120"/>
      <c r="BN110" s="121"/>
      <c r="BO110" s="121"/>
      <c r="BP110" s="121"/>
      <c r="BQ110" s="121"/>
      <c r="BR110" s="121"/>
      <c r="BS110" s="89"/>
    </row>
    <row r="111" spans="34:71" ht="15" thickTop="1" thickBot="1" x14ac:dyDescent="0.3">
      <c r="AH111" s="88"/>
      <c r="AI111" s="88"/>
      <c r="AJ111" s="88"/>
      <c r="AK111" s="88"/>
      <c r="AL111" s="88"/>
      <c r="AM111" s="88"/>
      <c r="AN111" s="88"/>
      <c r="AO111" s="89"/>
      <c r="AP111" s="89"/>
      <c r="AQ111" s="90"/>
      <c r="AR111" s="170" t="s">
        <v>114</v>
      </c>
      <c r="AS111" s="171"/>
      <c r="BH111" s="88"/>
      <c r="BI111" s="88"/>
      <c r="BJ111" s="88"/>
      <c r="BK111" s="88"/>
      <c r="BL111" s="88"/>
      <c r="BM111" s="88"/>
      <c r="BN111" s="89"/>
      <c r="BO111" s="89"/>
      <c r="BP111" s="90"/>
      <c r="BQ111" s="170" t="s">
        <v>114</v>
      </c>
      <c r="BR111" s="171"/>
      <c r="BS111" s="89"/>
    </row>
    <row r="112" spans="34:71" x14ac:dyDescent="0.25">
      <c r="AH112" s="88"/>
      <c r="AI112" s="88"/>
      <c r="AJ112" s="181" t="s">
        <v>143</v>
      </c>
      <c r="AK112" s="176" t="s">
        <v>133</v>
      </c>
      <c r="AL112" s="176"/>
      <c r="AM112" s="94"/>
      <c r="AN112" s="95">
        <f>SQRT((0.68-0.35)^2+1)</f>
        <v>1.0530432089900206</v>
      </c>
      <c r="AO112" s="96" t="s">
        <v>134</v>
      </c>
      <c r="AP112" s="89"/>
      <c r="AQ112" s="177" t="str">
        <f>IF(AND(3&lt;AK47,AK47&lt;=5),"OK","NG")</f>
        <v>NG</v>
      </c>
      <c r="AR112" s="97" t="s">
        <v>135</v>
      </c>
      <c r="AS112" s="98">
        <f>(AN112+2)*AO113*0.5</f>
        <v>4.493958305342745</v>
      </c>
      <c r="BH112" s="88"/>
      <c r="BI112" s="181" t="s">
        <v>143</v>
      </c>
      <c r="BJ112" s="176" t="s">
        <v>133</v>
      </c>
      <c r="BK112" s="176"/>
      <c r="BL112" s="94"/>
      <c r="BM112" s="95">
        <f>SQRT((0.68-0.35)^2+1)</f>
        <v>1.0530432089900206</v>
      </c>
      <c r="BN112" s="96" t="s">
        <v>134</v>
      </c>
      <c r="BO112" s="89"/>
      <c r="BP112" s="177" t="str">
        <f>IF(AND(3&lt;BJ47,BJ47&lt;=5),"OK","NG")</f>
        <v>NG</v>
      </c>
      <c r="BQ112" s="97" t="s">
        <v>135</v>
      </c>
      <c r="BR112" s="98">
        <f>(BM112+2)*BN113*0.5</f>
        <v>4.0512648700081293</v>
      </c>
      <c r="BS112" s="89"/>
    </row>
    <row r="113" spans="34:71" x14ac:dyDescent="0.25">
      <c r="AH113" s="88"/>
      <c r="AI113" s="88"/>
      <c r="AJ113" s="182"/>
      <c r="AK113" s="166"/>
      <c r="AL113" s="166"/>
      <c r="AM113" s="163"/>
      <c r="AN113" s="102"/>
      <c r="AO113" s="103">
        <f>AN114*AM47/AM118</f>
        <v>2.9439205394209895</v>
      </c>
      <c r="AP113" s="89"/>
      <c r="AQ113" s="178"/>
      <c r="AR113" s="97" t="s">
        <v>137</v>
      </c>
      <c r="AS113" s="98">
        <f>(2+3)*AO114*0.5</f>
        <v>7.7720561470422069</v>
      </c>
      <c r="BH113" s="88"/>
      <c r="BI113" s="182"/>
      <c r="BJ113" s="166"/>
      <c r="BK113" s="166"/>
      <c r="BL113" s="163"/>
      <c r="BM113" s="102"/>
      <c r="BN113" s="103">
        <f>BM114*BL47/BL118</f>
        <v>2.6539191178681882</v>
      </c>
      <c r="BO113" s="89"/>
      <c r="BP113" s="178"/>
      <c r="BQ113" s="97" t="s">
        <v>137</v>
      </c>
      <c r="BR113" s="98">
        <f>(2+3)*BN114*0.5</f>
        <v>7.0064419598217453</v>
      </c>
      <c r="BS113" s="89"/>
    </row>
    <row r="114" spans="34:71" x14ac:dyDescent="0.25">
      <c r="AH114" s="88"/>
      <c r="AI114" s="88"/>
      <c r="AJ114" s="182"/>
      <c r="AK114" s="166"/>
      <c r="AL114" s="166"/>
      <c r="AM114" s="163"/>
      <c r="AN114" s="125">
        <f>2-AN112</f>
        <v>0.94695679100997943</v>
      </c>
      <c r="AO114" s="180">
        <f>AN116*AM47/AM118-AO113</f>
        <v>3.1088224588168827</v>
      </c>
      <c r="AP114" s="89"/>
      <c r="AQ114" s="179"/>
      <c r="AR114" s="97" t="s">
        <v>138</v>
      </c>
      <c r="AS114" s="98">
        <f>(3+AN118+AM118)*AO116*0.5</f>
        <v>-7.6593914224907005</v>
      </c>
      <c r="BH114" s="88"/>
      <c r="BI114" s="182"/>
      <c r="BJ114" s="166"/>
      <c r="BK114" s="166"/>
      <c r="BL114" s="163"/>
      <c r="BM114" s="125">
        <f>2-BM112</f>
        <v>0.94695679100997943</v>
      </c>
      <c r="BN114" s="180">
        <f>BM116*BL47/BL118-BN113</f>
        <v>2.8025767839286981</v>
      </c>
      <c r="BO114" s="89"/>
      <c r="BP114" s="179"/>
      <c r="BQ114" s="97" t="s">
        <v>138</v>
      </c>
      <c r="BR114" s="98">
        <f>(3+BM118+BL118)*BN116*0.5</f>
        <v>-3.9910180905497521</v>
      </c>
      <c r="BS114" s="89"/>
    </row>
    <row r="115" spans="34:71" x14ac:dyDescent="0.25">
      <c r="AH115" s="88"/>
      <c r="AI115" s="88"/>
      <c r="AJ115" s="182"/>
      <c r="AK115" s="166"/>
      <c r="AL115" s="166"/>
      <c r="AM115" s="163"/>
      <c r="AN115" s="126"/>
      <c r="AO115" s="180"/>
      <c r="AP115" s="89"/>
      <c r="AQ115" s="88"/>
      <c r="AR115" s="88"/>
      <c r="AS115" s="88"/>
      <c r="BH115" s="88"/>
      <c r="BI115" s="182"/>
      <c r="BJ115" s="166"/>
      <c r="BK115" s="166"/>
      <c r="BL115" s="163"/>
      <c r="BM115" s="126"/>
      <c r="BN115" s="180"/>
      <c r="BO115" s="89"/>
      <c r="BP115" s="88"/>
      <c r="BQ115" s="88"/>
      <c r="BR115" s="88"/>
      <c r="BS115" s="89"/>
    </row>
    <row r="116" spans="34:71" x14ac:dyDescent="0.25">
      <c r="AH116" s="88"/>
      <c r="AI116" s="88"/>
      <c r="AJ116" s="182"/>
      <c r="AK116" s="166"/>
      <c r="AL116" s="166"/>
      <c r="AM116" s="163"/>
      <c r="AN116" s="105">
        <f>3-AN112</f>
        <v>1.9469567910099794</v>
      </c>
      <c r="AO116" s="180">
        <f>AM47-SUM(AO113:AO115)</f>
        <v>-3.0527429982378722</v>
      </c>
      <c r="AP116" s="89"/>
      <c r="AQ116" s="88"/>
      <c r="AR116" s="88"/>
      <c r="AS116" s="88"/>
      <c r="BH116" s="88"/>
      <c r="BI116" s="182"/>
      <c r="BJ116" s="166"/>
      <c r="BK116" s="166"/>
      <c r="BL116" s="163"/>
      <c r="BM116" s="105">
        <f>3-BM112</f>
        <v>1.9469567910099794</v>
      </c>
      <c r="BN116" s="180">
        <f>BL47-SUM(BN113:BN115)</f>
        <v>-1.4564959017968864</v>
      </c>
      <c r="BO116" s="89"/>
      <c r="BP116" s="88"/>
      <c r="BQ116" s="88"/>
      <c r="BR116" s="88"/>
      <c r="BS116" s="89"/>
    </row>
    <row r="117" spans="34:71" x14ac:dyDescent="0.25">
      <c r="AH117" s="88"/>
      <c r="AI117" s="88"/>
      <c r="AJ117" s="182"/>
      <c r="AK117" s="166"/>
      <c r="AL117" s="166"/>
      <c r="AM117" s="164"/>
      <c r="AN117" s="108"/>
      <c r="AO117" s="180"/>
      <c r="AP117" s="89"/>
      <c r="AQ117" s="88"/>
      <c r="AR117" s="88"/>
      <c r="AS117" s="88"/>
      <c r="BH117" s="88"/>
      <c r="BI117" s="182"/>
      <c r="BJ117" s="166"/>
      <c r="BK117" s="166"/>
      <c r="BL117" s="164"/>
      <c r="BM117" s="108"/>
      <c r="BN117" s="180"/>
      <c r="BO117" s="89"/>
      <c r="BP117" s="88"/>
      <c r="BQ117" s="88"/>
      <c r="BR117" s="88"/>
      <c r="BS117" s="89"/>
    </row>
    <row r="118" spans="34:71" ht="14.4" thickBot="1" x14ac:dyDescent="0.3">
      <c r="AH118" s="88"/>
      <c r="AI118" s="88"/>
      <c r="AJ118" s="182"/>
      <c r="AK118" s="115"/>
      <c r="AL118" s="115"/>
      <c r="AM118" s="116">
        <f>SQRT((AO47-AP47)^2+AK47^2)-AN118</f>
        <v>0.96499560194946055</v>
      </c>
      <c r="AN118" s="117">
        <f>AN112</f>
        <v>1.0530432089900206</v>
      </c>
      <c r="AO118" s="118"/>
      <c r="AP118" s="89"/>
      <c r="AQ118" s="88"/>
      <c r="AR118" s="88"/>
      <c r="AS118" s="88"/>
      <c r="BH118" s="88"/>
      <c r="BI118" s="182"/>
      <c r="BJ118" s="115"/>
      <c r="BK118" s="115"/>
      <c r="BL118" s="116">
        <f>SQRT((BN47-BO47)^2+BJ47^2)-BM118</f>
        <v>1.4272579516600201</v>
      </c>
      <c r="BM118" s="117">
        <f>BM112</f>
        <v>1.0530432089900206</v>
      </c>
      <c r="BN118" s="118"/>
      <c r="BO118" s="89"/>
      <c r="BP118" s="88"/>
      <c r="BQ118" s="88"/>
      <c r="BR118" s="88"/>
      <c r="BS118" s="89"/>
    </row>
    <row r="119" spans="34:71" ht="14.4" thickBot="1" x14ac:dyDescent="0.3">
      <c r="AH119" s="88"/>
      <c r="AI119" s="88"/>
      <c r="AJ119" s="182"/>
      <c r="AK119" s="119"/>
      <c r="AL119" s="119"/>
      <c r="AM119" s="119"/>
      <c r="AN119" s="88"/>
      <c r="AO119" s="88"/>
      <c r="AP119" s="89"/>
      <c r="AQ119" s="88"/>
      <c r="AR119" s="168" t="s">
        <v>114</v>
      </c>
      <c r="AS119" s="169"/>
      <c r="BH119" s="88"/>
      <c r="BI119" s="182"/>
      <c r="BJ119" s="119"/>
      <c r="BK119" s="119"/>
      <c r="BL119" s="119"/>
      <c r="BM119" s="88"/>
      <c r="BN119" s="88"/>
      <c r="BO119" s="89"/>
      <c r="BP119" s="88"/>
      <c r="BQ119" s="168" t="s">
        <v>114</v>
      </c>
      <c r="BR119" s="169"/>
      <c r="BS119" s="89"/>
    </row>
    <row r="120" spans="34:71" x14ac:dyDescent="0.25">
      <c r="AH120" s="88"/>
      <c r="AI120" s="88"/>
      <c r="AJ120" s="182"/>
      <c r="AK120" s="176" t="s">
        <v>133</v>
      </c>
      <c r="AL120" s="176"/>
      <c r="AM120" s="94"/>
      <c r="AN120" s="95">
        <f>SQRT((0.68-0.35)^2+1)</f>
        <v>1.0530432089900206</v>
      </c>
      <c r="AO120" s="96" t="s">
        <v>134</v>
      </c>
      <c r="AP120" s="89"/>
      <c r="AQ120" s="177" t="str">
        <f>IF(AND(2&lt;AK47,AK47&lt;=3),"OK","NG")</f>
        <v>NG</v>
      </c>
      <c r="AR120" s="97" t="s">
        <v>135</v>
      </c>
      <c r="AS120" s="98">
        <f>(AN120+2)*AO121*0.5</f>
        <v>4.493958305342745</v>
      </c>
      <c r="BH120" s="88"/>
      <c r="BI120" s="182"/>
      <c r="BJ120" s="176" t="s">
        <v>133</v>
      </c>
      <c r="BK120" s="176"/>
      <c r="BL120" s="94"/>
      <c r="BM120" s="95">
        <f>SQRT((0.68-0.35)^2+1)</f>
        <v>1.0530432089900206</v>
      </c>
      <c r="BN120" s="96" t="s">
        <v>134</v>
      </c>
      <c r="BO120" s="89"/>
      <c r="BP120" s="177" t="str">
        <f>IF(AND(2&lt;BJ47,BJ47&lt;=3),"OK","NG")</f>
        <v>OK</v>
      </c>
      <c r="BQ120" s="97" t="s">
        <v>135</v>
      </c>
      <c r="BR120" s="98">
        <f>(BM120+2)*BN121*0.5</f>
        <v>4.0512648700081293</v>
      </c>
      <c r="BS120" s="89"/>
    </row>
    <row r="121" spans="34:71" x14ac:dyDescent="0.25">
      <c r="AH121" s="88"/>
      <c r="AI121" s="88"/>
      <c r="AJ121" s="182"/>
      <c r="AK121" s="166"/>
      <c r="AL121" s="166"/>
      <c r="AM121" s="163"/>
      <c r="AN121" s="102"/>
      <c r="AO121" s="103">
        <f>AN122*AM47/AM124</f>
        <v>2.9439205394209895</v>
      </c>
      <c r="AP121" s="89"/>
      <c r="AQ121" s="179"/>
      <c r="AR121" s="97" t="s">
        <v>137</v>
      </c>
      <c r="AS121" s="98">
        <f>(2+AN124+AM124)*AO122*0.5</f>
        <v>0.11266472455150739</v>
      </c>
      <c r="BH121" s="88"/>
      <c r="BI121" s="182"/>
      <c r="BJ121" s="166"/>
      <c r="BK121" s="166"/>
      <c r="BL121" s="163"/>
      <c r="BM121" s="102"/>
      <c r="BN121" s="103">
        <f>BM122*BL47/BL124</f>
        <v>2.6539191178681882</v>
      </c>
      <c r="BO121" s="89"/>
      <c r="BP121" s="179"/>
      <c r="BQ121" s="97" t="s">
        <v>137</v>
      </c>
      <c r="BR121" s="98">
        <f>(2+BM124+BL124)*BN122*0.5</f>
        <v>3.0154238692719932</v>
      </c>
      <c r="BS121" s="89"/>
    </row>
    <row r="122" spans="34:71" x14ac:dyDescent="0.25">
      <c r="AH122" s="88"/>
      <c r="AI122" s="88"/>
      <c r="AJ122" s="182"/>
      <c r="AK122" s="166"/>
      <c r="AL122" s="166"/>
      <c r="AM122" s="163"/>
      <c r="AN122" s="105">
        <f>2-AN120</f>
        <v>0.94695679100997943</v>
      </c>
      <c r="AO122" s="180">
        <f>AM47-AO121</f>
        <v>5.6079460579010476E-2</v>
      </c>
      <c r="AP122" s="89"/>
      <c r="AQ122" s="89"/>
      <c r="AR122" s="89"/>
      <c r="AS122" s="89"/>
      <c r="BH122" s="88"/>
      <c r="BI122" s="182"/>
      <c r="BJ122" s="166"/>
      <c r="BK122" s="166"/>
      <c r="BL122" s="163"/>
      <c r="BM122" s="105">
        <f>2-BM120</f>
        <v>0.94695679100997943</v>
      </c>
      <c r="BN122" s="180">
        <f>BL47-BN121</f>
        <v>1.3460808821318118</v>
      </c>
      <c r="BO122" s="89"/>
      <c r="BP122" s="89"/>
      <c r="BQ122" s="89"/>
      <c r="BR122" s="89"/>
      <c r="BS122" s="89"/>
    </row>
    <row r="123" spans="34:71" x14ac:dyDescent="0.25">
      <c r="AH123" s="88"/>
      <c r="AI123" s="88"/>
      <c r="AJ123" s="182"/>
      <c r="AK123" s="166"/>
      <c r="AL123" s="166"/>
      <c r="AM123" s="164"/>
      <c r="AN123" s="108"/>
      <c r="AO123" s="167"/>
      <c r="AP123" s="89"/>
      <c r="AQ123" s="89"/>
      <c r="AR123" s="89"/>
      <c r="AS123" s="89"/>
      <c r="BH123" s="88"/>
      <c r="BI123" s="182"/>
      <c r="BJ123" s="166"/>
      <c r="BK123" s="166"/>
      <c r="BL123" s="164"/>
      <c r="BM123" s="108"/>
      <c r="BN123" s="167"/>
      <c r="BO123" s="89"/>
      <c r="BP123" s="89"/>
      <c r="BQ123" s="89"/>
      <c r="BR123" s="89"/>
      <c r="BS123" s="89"/>
    </row>
    <row r="124" spans="34:71" ht="14.4" thickBot="1" x14ac:dyDescent="0.3">
      <c r="AH124" s="88"/>
      <c r="AI124" s="88"/>
      <c r="AJ124" s="183"/>
      <c r="AK124" s="115"/>
      <c r="AL124" s="115"/>
      <c r="AM124" s="116">
        <f>SQRT((AO47-AP47)^2+AK47^2)-AN118</f>
        <v>0.96499560194946055</v>
      </c>
      <c r="AN124" s="117">
        <f>AN120</f>
        <v>1.0530432089900206</v>
      </c>
      <c r="AO124" s="118"/>
      <c r="AP124" s="89"/>
      <c r="AQ124" s="89"/>
      <c r="AR124" s="89"/>
      <c r="AS124" s="89"/>
      <c r="BH124" s="88"/>
      <c r="BI124" s="183"/>
      <c r="BJ124" s="115"/>
      <c r="BK124" s="115"/>
      <c r="BL124" s="116">
        <f>SQRT((BN47-BO47)^2+BJ47^2)-BM118</f>
        <v>1.4272579516600201</v>
      </c>
      <c r="BM124" s="117">
        <f>BM120</f>
        <v>1.0530432089900206</v>
      </c>
      <c r="BN124" s="118"/>
      <c r="BO124" s="89"/>
      <c r="BP124" s="89"/>
      <c r="BQ124" s="89"/>
      <c r="BR124" s="89"/>
      <c r="BS124" s="89"/>
    </row>
    <row r="125" spans="34:71" ht="14.4" thickBot="1" x14ac:dyDescent="0.3">
      <c r="AH125" s="88"/>
      <c r="AI125" s="120"/>
      <c r="AJ125" s="120"/>
      <c r="AK125" s="120"/>
      <c r="AL125" s="120"/>
      <c r="AM125" s="120"/>
      <c r="AN125" s="120"/>
      <c r="AO125" s="121"/>
      <c r="AP125" s="121"/>
      <c r="AQ125" s="121"/>
      <c r="AR125" s="121"/>
      <c r="AS125" s="121"/>
      <c r="BH125" s="120"/>
      <c r="BI125" s="120"/>
      <c r="BJ125" s="120"/>
      <c r="BK125" s="120"/>
      <c r="BL125" s="120"/>
      <c r="BM125" s="120"/>
      <c r="BN125" s="121"/>
      <c r="BO125" s="121"/>
      <c r="BP125" s="121"/>
      <c r="BQ125" s="121"/>
      <c r="BR125" s="121"/>
      <c r="BS125" s="89"/>
    </row>
    <row r="126" spans="34:71" ht="15" thickTop="1" thickBot="1" x14ac:dyDescent="0.3">
      <c r="AH126" s="88"/>
      <c r="AI126" s="88"/>
      <c r="AJ126" s="88"/>
      <c r="AK126" s="88"/>
      <c r="AL126" s="88"/>
      <c r="AM126" s="88"/>
      <c r="AN126" s="88"/>
      <c r="AO126" s="89"/>
      <c r="AP126" s="89"/>
      <c r="AQ126" s="90"/>
      <c r="AR126" s="170" t="s">
        <v>114</v>
      </c>
      <c r="AS126" s="171"/>
      <c r="BH126" s="88"/>
      <c r="BI126" s="88"/>
      <c r="BJ126" s="88"/>
      <c r="BK126" s="88"/>
      <c r="BL126" s="88"/>
      <c r="BM126" s="88"/>
      <c r="BN126" s="89"/>
      <c r="BO126" s="89"/>
      <c r="BP126" s="90"/>
      <c r="BQ126" s="170" t="s">
        <v>114</v>
      </c>
      <c r="BR126" s="171"/>
      <c r="BS126" s="89"/>
    </row>
    <row r="127" spans="34:71" x14ac:dyDescent="0.25">
      <c r="AH127" s="88"/>
      <c r="AI127" s="88"/>
      <c r="AJ127" s="172" t="s">
        <v>144</v>
      </c>
      <c r="AK127" s="175" t="s">
        <v>133</v>
      </c>
      <c r="AL127" s="176"/>
      <c r="AM127" s="94"/>
      <c r="AN127" s="95">
        <v>0.35</v>
      </c>
      <c r="AO127" s="96" t="s">
        <v>134</v>
      </c>
      <c r="AP127" s="89"/>
      <c r="AQ127" s="177" t="str">
        <f>IF(AND(3&lt;AK47,AK47&lt;=5),"OK","NG")</f>
        <v>NG</v>
      </c>
      <c r="AR127" s="97" t="s">
        <v>135</v>
      </c>
      <c r="AS127" s="98">
        <f>(AN131+AN133+AM133)*AO131*0.5*2</f>
        <v>2.0305176357701806</v>
      </c>
      <c r="BH127" s="88"/>
      <c r="BI127" s="172" t="s">
        <v>144</v>
      </c>
      <c r="BJ127" s="175" t="s">
        <v>133</v>
      </c>
      <c r="BK127" s="176"/>
      <c r="BL127" s="94"/>
      <c r="BM127" s="95">
        <v>0.35</v>
      </c>
      <c r="BN127" s="96" t="s">
        <v>134</v>
      </c>
      <c r="BO127" s="89"/>
      <c r="BP127" s="177" t="str">
        <f>IF(AND(3&lt;BJ47,BJ47&lt;=5),"OK","NG")</f>
        <v>NG</v>
      </c>
      <c r="BQ127" s="97" t="s">
        <v>135</v>
      </c>
      <c r="BR127" s="98">
        <f>(BM131+BM133+BL133)*BN131*0.5*2</f>
        <v>2.1590188608751744</v>
      </c>
      <c r="BS127" s="89"/>
    </row>
    <row r="128" spans="34:71" x14ac:dyDescent="0.25">
      <c r="AH128" s="88"/>
      <c r="AI128" s="88"/>
      <c r="AJ128" s="173"/>
      <c r="AK128" s="165"/>
      <c r="AL128" s="166"/>
      <c r="AM128" s="163"/>
      <c r="AN128" s="102"/>
      <c r="AO128" s="103">
        <f>AK47-3</f>
        <v>-1.0855202852439958</v>
      </c>
      <c r="AP128" s="89"/>
      <c r="AQ128" s="178"/>
      <c r="AR128" s="97" t="s">
        <v>137</v>
      </c>
      <c r="AS128" s="98">
        <f>(AN131+AN129)*AO129*0.5*2</f>
        <v>0.49814704471272564</v>
      </c>
      <c r="BH128" s="88"/>
      <c r="BI128" s="173"/>
      <c r="BJ128" s="165"/>
      <c r="BK128" s="166"/>
      <c r="BL128" s="163"/>
      <c r="BM128" s="102"/>
      <c r="BN128" s="103">
        <f>BJ47-3</f>
        <v>-0.64697971475600191</v>
      </c>
      <c r="BO128" s="89"/>
      <c r="BP128" s="178"/>
      <c r="BQ128" s="97" t="s">
        <v>137</v>
      </c>
      <c r="BR128" s="98">
        <f>(BM131+BM129)*BN129*0.5*2</f>
        <v>0.65877357609396803</v>
      </c>
      <c r="BS128" s="89"/>
    </row>
    <row r="129" spans="34:71" x14ac:dyDescent="0.25">
      <c r="AH129" s="88"/>
      <c r="AI129" s="88"/>
      <c r="AJ129" s="173"/>
      <c r="AK129" s="165"/>
      <c r="AL129" s="166"/>
      <c r="AM129" s="163"/>
      <c r="AN129" s="105">
        <f>(AM133*AO128/AK47)+AN127</f>
        <v>0.1628882268276354</v>
      </c>
      <c r="AO129" s="167">
        <f>1</f>
        <v>1</v>
      </c>
      <c r="AP129" s="89"/>
      <c r="AQ129" s="179"/>
      <c r="AR129" s="97" t="s">
        <v>138</v>
      </c>
      <c r="AS129" s="98">
        <f>(AN129+AN127)*AO128*0.5*2</f>
        <v>-0.55675057428422192</v>
      </c>
      <c r="BH129" s="88"/>
      <c r="BI129" s="173"/>
      <c r="BJ129" s="165"/>
      <c r="BK129" s="166"/>
      <c r="BL129" s="163"/>
      <c r="BM129" s="105">
        <f>(BL133*BN128/BJ47)+BM127</f>
        <v>0.25926414565638078</v>
      </c>
      <c r="BN129" s="167">
        <f>1</f>
        <v>1</v>
      </c>
      <c r="BO129" s="89"/>
      <c r="BP129" s="179"/>
      <c r="BQ129" s="97" t="s">
        <v>138</v>
      </c>
      <c r="BR129" s="98">
        <f>(BM129+BM127)*BN128*0.5*2</f>
        <v>-0.39418154316782444</v>
      </c>
      <c r="BS129" s="89"/>
    </row>
    <row r="130" spans="34:71" x14ac:dyDescent="0.25">
      <c r="AH130" s="88"/>
      <c r="AI130" s="88"/>
      <c r="AJ130" s="173"/>
      <c r="AK130" s="165"/>
      <c r="AL130" s="166"/>
      <c r="AM130" s="163"/>
      <c r="AN130" s="108"/>
      <c r="AO130" s="167"/>
      <c r="AP130" s="89"/>
      <c r="AQ130" s="88"/>
      <c r="AR130" s="88"/>
      <c r="AS130" s="88"/>
      <c r="BH130" s="88"/>
      <c r="BI130" s="173"/>
      <c r="BJ130" s="165"/>
      <c r="BK130" s="166"/>
      <c r="BL130" s="163"/>
      <c r="BM130" s="108"/>
      <c r="BN130" s="167"/>
      <c r="BO130" s="89"/>
      <c r="BP130" s="88"/>
      <c r="BQ130" s="88"/>
      <c r="BR130" s="88"/>
      <c r="BS130" s="89"/>
    </row>
    <row r="131" spans="34:71" x14ac:dyDescent="0.25">
      <c r="AH131" s="88"/>
      <c r="AI131" s="88"/>
      <c r="AJ131" s="173"/>
      <c r="AK131" s="165"/>
      <c r="AL131" s="166"/>
      <c r="AM131" s="163"/>
      <c r="AN131" s="105">
        <f>(AM133*(AO128+AO129)/AK47)+AN127</f>
        <v>0.33525881788509027</v>
      </c>
      <c r="AO131" s="167">
        <f>2</f>
        <v>2</v>
      </c>
      <c r="AP131" s="89"/>
      <c r="AQ131" s="88"/>
      <c r="AR131" s="88"/>
      <c r="AS131" s="88"/>
      <c r="BH131" s="88"/>
      <c r="BI131" s="173"/>
      <c r="BJ131" s="165"/>
      <c r="BK131" s="166"/>
      <c r="BL131" s="163"/>
      <c r="BM131" s="105">
        <f>(BL133*(BN128+BN129)/BJ47)+BM127</f>
        <v>0.39950943043758724</v>
      </c>
      <c r="BN131" s="167">
        <f>2</f>
        <v>2</v>
      </c>
      <c r="BO131" s="89"/>
      <c r="BP131" s="88"/>
      <c r="BQ131" s="88"/>
      <c r="BR131" s="88"/>
      <c r="BS131" s="89"/>
    </row>
    <row r="132" spans="34:71" x14ac:dyDescent="0.25">
      <c r="AH132" s="88"/>
      <c r="AI132" s="88"/>
      <c r="AJ132" s="173"/>
      <c r="AK132" s="165"/>
      <c r="AL132" s="166"/>
      <c r="AM132" s="164"/>
      <c r="AN132" s="108"/>
      <c r="AO132" s="167"/>
      <c r="AP132" s="89"/>
      <c r="AQ132" s="88"/>
      <c r="AR132" s="88"/>
      <c r="AS132" s="88"/>
      <c r="BH132" s="88"/>
      <c r="BI132" s="173"/>
      <c r="BJ132" s="165"/>
      <c r="BK132" s="166"/>
      <c r="BL132" s="164"/>
      <c r="BM132" s="108"/>
      <c r="BN132" s="167"/>
      <c r="BO132" s="89"/>
      <c r="BP132" s="88"/>
      <c r="BQ132" s="88"/>
      <c r="BR132" s="88"/>
      <c r="BS132" s="89"/>
    </row>
    <row r="133" spans="34:71" ht="14.4" thickBot="1" x14ac:dyDescent="0.3">
      <c r="AH133" s="88"/>
      <c r="AI133" s="88"/>
      <c r="AJ133" s="173"/>
      <c r="AK133" s="115"/>
      <c r="AL133" s="115"/>
      <c r="AM133" s="116">
        <f>0.68-AN133</f>
        <v>0.33000000000000007</v>
      </c>
      <c r="AN133" s="117">
        <f>AN127</f>
        <v>0.35</v>
      </c>
      <c r="AO133" s="118"/>
      <c r="AP133" s="89"/>
      <c r="AQ133" s="88"/>
      <c r="AR133" s="88"/>
      <c r="AS133" s="88"/>
      <c r="BH133" s="88"/>
      <c r="BI133" s="173"/>
      <c r="BJ133" s="115"/>
      <c r="BK133" s="115"/>
      <c r="BL133" s="116">
        <f>0.68-BM133</f>
        <v>0.33000000000000007</v>
      </c>
      <c r="BM133" s="117">
        <f>BM127</f>
        <v>0.35</v>
      </c>
      <c r="BN133" s="118"/>
      <c r="BO133" s="89"/>
      <c r="BP133" s="88"/>
      <c r="BQ133" s="88"/>
      <c r="BR133" s="88"/>
      <c r="BS133" s="89"/>
    </row>
    <row r="134" spans="34:71" ht="14.4" thickBot="1" x14ac:dyDescent="0.3">
      <c r="AH134" s="88"/>
      <c r="AI134" s="88"/>
      <c r="AJ134" s="173"/>
      <c r="AK134" s="119"/>
      <c r="AL134" s="119"/>
      <c r="AM134" s="119"/>
      <c r="AN134" s="88"/>
      <c r="AO134" s="88"/>
      <c r="AP134" s="89"/>
      <c r="AQ134" s="88"/>
      <c r="AR134" s="168" t="s">
        <v>114</v>
      </c>
      <c r="AS134" s="169"/>
      <c r="BH134" s="88"/>
      <c r="BI134" s="173"/>
      <c r="BJ134" s="119"/>
      <c r="BK134" s="119"/>
      <c r="BL134" s="119"/>
      <c r="BM134" s="88"/>
      <c r="BN134" s="88"/>
      <c r="BO134" s="89"/>
      <c r="BP134" s="88"/>
      <c r="BQ134" s="168" t="s">
        <v>114</v>
      </c>
      <c r="BR134" s="169"/>
      <c r="BS134" s="89"/>
    </row>
    <row r="135" spans="34:71" x14ac:dyDescent="0.25">
      <c r="AH135" s="88"/>
      <c r="AI135" s="88"/>
      <c r="AJ135" s="173"/>
      <c r="AK135" s="175" t="s">
        <v>133</v>
      </c>
      <c r="AL135" s="176"/>
      <c r="AM135" s="94"/>
      <c r="AN135" s="95">
        <v>0.35</v>
      </c>
      <c r="AO135" s="96" t="s">
        <v>134</v>
      </c>
      <c r="AP135" s="89"/>
      <c r="AQ135" s="177" t="str">
        <f>IF(AND(2&lt;AK47,AK47&lt;=3),"OK","NG")</f>
        <v>NG</v>
      </c>
      <c r="AR135" s="97" t="s">
        <v>135</v>
      </c>
      <c r="AS135" s="98">
        <f>(AN137+AN139+AM139)*AO137*0.5*2</f>
        <v>2.0305176357701806</v>
      </c>
      <c r="BH135" s="88"/>
      <c r="BI135" s="173"/>
      <c r="BJ135" s="175" t="s">
        <v>133</v>
      </c>
      <c r="BK135" s="176"/>
      <c r="BL135" s="94"/>
      <c r="BM135" s="95">
        <v>0.35</v>
      </c>
      <c r="BN135" s="96" t="s">
        <v>134</v>
      </c>
      <c r="BO135" s="89"/>
      <c r="BP135" s="177" t="str">
        <f>IF(AND(2&lt;BJ47,BJ47&lt;=3),"OK","NG")</f>
        <v>OK</v>
      </c>
      <c r="BQ135" s="97" t="s">
        <v>135</v>
      </c>
      <c r="BR135" s="98">
        <f>(BM137+BM139+BL139)*BN137*0.5*2</f>
        <v>2.1590188608751744</v>
      </c>
      <c r="BS135" s="89"/>
    </row>
    <row r="136" spans="34:71" x14ac:dyDescent="0.25">
      <c r="AH136" s="88"/>
      <c r="AI136" s="88"/>
      <c r="AJ136" s="173"/>
      <c r="AK136" s="165"/>
      <c r="AL136" s="166"/>
      <c r="AM136" s="163"/>
      <c r="AN136" s="102"/>
      <c r="AO136" s="103">
        <f>AK47-2</f>
        <v>-8.5520285243995797E-2</v>
      </c>
      <c r="AP136" s="89"/>
      <c r="AQ136" s="179"/>
      <c r="AR136" s="97" t="s">
        <v>137</v>
      </c>
      <c r="AS136" s="98">
        <f>(AN137+AN135)*AO136*0.5*2</f>
        <v>-5.8603529571496289E-2</v>
      </c>
      <c r="BH136" s="88"/>
      <c r="BI136" s="173"/>
      <c r="BJ136" s="165"/>
      <c r="BK136" s="166"/>
      <c r="BL136" s="163"/>
      <c r="BM136" s="102"/>
      <c r="BN136" s="103">
        <f>BJ47-2</f>
        <v>0.35302028524399809</v>
      </c>
      <c r="BO136" s="89"/>
      <c r="BP136" s="179"/>
      <c r="BQ136" s="97" t="s">
        <v>137</v>
      </c>
      <c r="BR136" s="98">
        <f>(BM137+BM135)*BN136*0.5*2</f>
        <v>0.26459203292614358</v>
      </c>
      <c r="BS136" s="89"/>
    </row>
    <row r="137" spans="34:71" x14ac:dyDescent="0.25">
      <c r="AH137" s="88"/>
      <c r="AI137" s="88"/>
      <c r="AJ137" s="173"/>
      <c r="AK137" s="165"/>
      <c r="AL137" s="166"/>
      <c r="AM137" s="163"/>
      <c r="AN137" s="105">
        <f>(AM139*AO136/AK47)+AN135</f>
        <v>0.33525881788509027</v>
      </c>
      <c r="AO137" s="167">
        <f>2</f>
        <v>2</v>
      </c>
      <c r="AP137" s="89"/>
      <c r="AQ137" s="89"/>
      <c r="AR137" s="89"/>
      <c r="AS137" s="89"/>
      <c r="BH137" s="88"/>
      <c r="BI137" s="173"/>
      <c r="BJ137" s="165"/>
      <c r="BK137" s="166"/>
      <c r="BL137" s="163"/>
      <c r="BM137" s="105">
        <f>(BL139*BN136/BJ47)+BM135</f>
        <v>0.39950943043758724</v>
      </c>
      <c r="BN137" s="167">
        <f>2</f>
        <v>2</v>
      </c>
      <c r="BO137" s="89"/>
      <c r="BP137" s="89"/>
      <c r="BQ137" s="89"/>
      <c r="BR137" s="89"/>
      <c r="BS137" s="89"/>
    </row>
    <row r="138" spans="34:71" x14ac:dyDescent="0.25">
      <c r="AH138" s="88"/>
      <c r="AI138" s="88"/>
      <c r="AJ138" s="173"/>
      <c r="AK138" s="165"/>
      <c r="AL138" s="166"/>
      <c r="AM138" s="164"/>
      <c r="AN138" s="108"/>
      <c r="AO138" s="167"/>
      <c r="AP138" s="89"/>
      <c r="AQ138" s="89"/>
      <c r="AR138" s="89"/>
      <c r="AS138" s="89"/>
      <c r="BH138" s="88"/>
      <c r="BI138" s="173"/>
      <c r="BJ138" s="165"/>
      <c r="BK138" s="166"/>
      <c r="BL138" s="164"/>
      <c r="BM138" s="108"/>
      <c r="BN138" s="167"/>
      <c r="BO138" s="89"/>
      <c r="BP138" s="89"/>
      <c r="BQ138" s="89"/>
      <c r="BR138" s="89"/>
      <c r="BS138" s="89"/>
    </row>
    <row r="139" spans="34:71" ht="14.4" thickBot="1" x14ac:dyDescent="0.3">
      <c r="AH139" s="88"/>
      <c r="AI139" s="88"/>
      <c r="AJ139" s="174"/>
      <c r="AK139" s="115"/>
      <c r="AL139" s="115"/>
      <c r="AM139" s="116">
        <f>0.68-AN139</f>
        <v>0.33000000000000007</v>
      </c>
      <c r="AN139" s="117">
        <f>AN135</f>
        <v>0.35</v>
      </c>
      <c r="AO139" s="118"/>
      <c r="AP139" s="89"/>
      <c r="AQ139" s="89"/>
      <c r="AR139" s="89"/>
      <c r="AS139" s="89"/>
      <c r="BH139" s="88"/>
      <c r="BI139" s="174"/>
      <c r="BJ139" s="115"/>
      <c r="BK139" s="115"/>
      <c r="BL139" s="116">
        <f>0.68-BM139</f>
        <v>0.33000000000000007</v>
      </c>
      <c r="BM139" s="117">
        <f>BM135</f>
        <v>0.35</v>
      </c>
      <c r="BN139" s="118"/>
      <c r="BO139" s="89"/>
      <c r="BP139" s="89"/>
      <c r="BQ139" s="89"/>
      <c r="BR139" s="89"/>
      <c r="BS139" s="89"/>
    </row>
  </sheetData>
  <mergeCells count="331">
    <mergeCell ref="N9:N11"/>
    <mergeCell ref="O9:O11"/>
    <mergeCell ref="AD9:AH9"/>
    <mergeCell ref="AT9:AX9"/>
    <mergeCell ref="AG10:AH10"/>
    <mergeCell ref="AW10:AX10"/>
    <mergeCell ref="AD11:AH11"/>
    <mergeCell ref="AT11:AX11"/>
    <mergeCell ref="AD3:AH3"/>
    <mergeCell ref="AT3:AX3"/>
    <mergeCell ref="AD6:AH6"/>
    <mergeCell ref="AT6:AX6"/>
    <mergeCell ref="AE7:AG7"/>
    <mergeCell ref="AU7:AW7"/>
    <mergeCell ref="W13:Z13"/>
    <mergeCell ref="AD13:AG13"/>
    <mergeCell ref="AT13:AW13"/>
    <mergeCell ref="AA14:AK14"/>
    <mergeCell ref="AT14:AW14"/>
    <mergeCell ref="AA15:AL15"/>
    <mergeCell ref="AT15:AX15"/>
    <mergeCell ref="AD8:AH8"/>
    <mergeCell ref="AT8:AX8"/>
    <mergeCell ref="AQ18:BB18"/>
    <mergeCell ref="C19:E19"/>
    <mergeCell ref="AQ19:BB19"/>
    <mergeCell ref="BF21:BF34"/>
    <mergeCell ref="AL22:AL32"/>
    <mergeCell ref="AB32:AH32"/>
    <mergeCell ref="AB33:AI33"/>
    <mergeCell ref="AB34:AI34"/>
    <mergeCell ref="K16:K17"/>
    <mergeCell ref="L16:Y16"/>
    <mergeCell ref="AA16:AL16"/>
    <mergeCell ref="AT16:AV16"/>
    <mergeCell ref="AW16:AX16"/>
    <mergeCell ref="AQ17:BA17"/>
    <mergeCell ref="K44:K46"/>
    <mergeCell ref="L44:L46"/>
    <mergeCell ref="M44:M46"/>
    <mergeCell ref="N44:N46"/>
    <mergeCell ref="O44:O46"/>
    <mergeCell ref="P44:P46"/>
    <mergeCell ref="D44:D46"/>
    <mergeCell ref="E44:E46"/>
    <mergeCell ref="F44:F46"/>
    <mergeCell ref="G44:H44"/>
    <mergeCell ref="I44:I46"/>
    <mergeCell ref="J44:J46"/>
    <mergeCell ref="G45:G46"/>
    <mergeCell ref="H45:H46"/>
    <mergeCell ref="AH44:AH46"/>
    <mergeCell ref="W44:W46"/>
    <mergeCell ref="X44:X46"/>
    <mergeCell ref="Y44:Y46"/>
    <mergeCell ref="Z44:Z46"/>
    <mergeCell ref="AA44:AA46"/>
    <mergeCell ref="AB44:AB46"/>
    <mergeCell ref="Q44:Q46"/>
    <mergeCell ref="R44:R46"/>
    <mergeCell ref="S44:S46"/>
    <mergeCell ref="T44:T46"/>
    <mergeCell ref="U44:U46"/>
    <mergeCell ref="V44:V46"/>
    <mergeCell ref="X49:Y49"/>
    <mergeCell ref="AR49:AS49"/>
    <mergeCell ref="AX49:AY49"/>
    <mergeCell ref="BE49:BF49"/>
    <mergeCell ref="BQ49:BR49"/>
    <mergeCell ref="BB44:BB46"/>
    <mergeCell ref="BC44:BC46"/>
    <mergeCell ref="BD44:BD46"/>
    <mergeCell ref="BE44:BE46"/>
    <mergeCell ref="BF44:BF46"/>
    <mergeCell ref="BG44:BG46"/>
    <mergeCell ref="AI44:AI46"/>
    <mergeCell ref="AJ44:AJ46"/>
    <mergeCell ref="AK44:AX44"/>
    <mergeCell ref="AY44:AY46"/>
    <mergeCell ref="AZ44:AZ46"/>
    <mergeCell ref="BA44:BA46"/>
    <mergeCell ref="AK45:AQ45"/>
    <mergeCell ref="AR45:AX45"/>
    <mergeCell ref="AC44:AC46"/>
    <mergeCell ref="AD44:AD46"/>
    <mergeCell ref="AE44:AE46"/>
    <mergeCell ref="AF44:AF46"/>
    <mergeCell ref="AG44:AG46"/>
    <mergeCell ref="J52:K53"/>
    <mergeCell ref="O52:O53"/>
    <mergeCell ref="Q52:R53"/>
    <mergeCell ref="U52:U53"/>
    <mergeCell ref="AK52:AL53"/>
    <mergeCell ref="AO52:AO53"/>
    <mergeCell ref="BJ52:BK53"/>
    <mergeCell ref="AW50:AW52"/>
    <mergeCell ref="BD50:BD52"/>
    <mergeCell ref="BI50:BI62"/>
    <mergeCell ref="BJ50:BK50"/>
    <mergeCell ref="J51:K51"/>
    <mergeCell ref="L51:L55"/>
    <mergeCell ref="N51:N55"/>
    <mergeCell ref="Q51:R51"/>
    <mergeCell ref="S51:S55"/>
    <mergeCell ref="J50:K50"/>
    <mergeCell ref="Q50:R50"/>
    <mergeCell ref="W50:W52"/>
    <mergeCell ref="AJ50:AJ62"/>
    <mergeCell ref="AK50:AL50"/>
    <mergeCell ref="AQ50:AQ52"/>
    <mergeCell ref="BQ57:BR57"/>
    <mergeCell ref="J58:K58"/>
    <mergeCell ref="Q58:R58"/>
    <mergeCell ref="W58:W59"/>
    <mergeCell ref="AK58:AL58"/>
    <mergeCell ref="AQ58:AQ59"/>
    <mergeCell ref="AW58:AW59"/>
    <mergeCell ref="BN52:BN53"/>
    <mergeCell ref="J54:K55"/>
    <mergeCell ref="O54:O55"/>
    <mergeCell ref="Q54:R55"/>
    <mergeCell ref="U54:U55"/>
    <mergeCell ref="AK54:AL55"/>
    <mergeCell ref="AO54:AO55"/>
    <mergeCell ref="BJ54:BK55"/>
    <mergeCell ref="BN54:BN55"/>
    <mergeCell ref="BP50:BP52"/>
    <mergeCell ref="AK51:AL51"/>
    <mergeCell ref="AM51:AM55"/>
    <mergeCell ref="X57:Y57"/>
    <mergeCell ref="BP58:BP59"/>
    <mergeCell ref="J59:K59"/>
    <mergeCell ref="L59:L61"/>
    <mergeCell ref="N59:N61"/>
    <mergeCell ref="J60:K61"/>
    <mergeCell ref="O60:O61"/>
    <mergeCell ref="Q60:R61"/>
    <mergeCell ref="U60:U61"/>
    <mergeCell ref="AK60:AL61"/>
    <mergeCell ref="AO60:AO61"/>
    <mergeCell ref="BJ60:BK61"/>
    <mergeCell ref="BD58:BD59"/>
    <mergeCell ref="BJ58:BK58"/>
    <mergeCell ref="Q59:R59"/>
    <mergeCell ref="S59:S61"/>
    <mergeCell ref="AK59:AL59"/>
    <mergeCell ref="AM59:AM61"/>
    <mergeCell ref="BJ59:BK59"/>
    <mergeCell ref="BN60:BN61"/>
    <mergeCell ref="AX63:AY63"/>
    <mergeCell ref="AR64:AS64"/>
    <mergeCell ref="AW64:AW66"/>
    <mergeCell ref="BQ64:BR64"/>
    <mergeCell ref="AJ65:AJ77"/>
    <mergeCell ref="AK65:AL65"/>
    <mergeCell ref="AQ65:AQ67"/>
    <mergeCell ref="BI65:BI77"/>
    <mergeCell ref="BJ65:BK65"/>
    <mergeCell ref="BP65:BP67"/>
    <mergeCell ref="AK66:AL66"/>
    <mergeCell ref="AM66:AM70"/>
    <mergeCell ref="BJ66:BK66"/>
    <mergeCell ref="BL66:BL70"/>
    <mergeCell ref="AK67:AL68"/>
    <mergeCell ref="AO67:AO68"/>
    <mergeCell ref="BJ67:BK68"/>
    <mergeCell ref="BN67:BN68"/>
    <mergeCell ref="AK69:AL70"/>
    <mergeCell ref="AO69:AO70"/>
    <mergeCell ref="BJ69:BK70"/>
    <mergeCell ref="BN69:BN70"/>
    <mergeCell ref="AR72:AS72"/>
    <mergeCell ref="BQ72:BR72"/>
    <mergeCell ref="AK73:AL73"/>
    <mergeCell ref="AQ73:AQ74"/>
    <mergeCell ref="BJ73:BK73"/>
    <mergeCell ref="BP73:BP74"/>
    <mergeCell ref="AK74:AL74"/>
    <mergeCell ref="BN75:BN76"/>
    <mergeCell ref="AR80:AS80"/>
    <mergeCell ref="BQ80:BR80"/>
    <mergeCell ref="AJ81:AJ93"/>
    <mergeCell ref="AK81:AL81"/>
    <mergeCell ref="AQ81:AQ83"/>
    <mergeCell ref="BI81:BI93"/>
    <mergeCell ref="BJ81:BK81"/>
    <mergeCell ref="BP81:BP83"/>
    <mergeCell ref="AK82:AL82"/>
    <mergeCell ref="AM74:AM76"/>
    <mergeCell ref="BJ74:BK74"/>
    <mergeCell ref="BL74:BL76"/>
    <mergeCell ref="AK75:AL76"/>
    <mergeCell ref="AO75:AO76"/>
    <mergeCell ref="BJ75:BK76"/>
    <mergeCell ref="BN83:BN84"/>
    <mergeCell ref="AK85:AL86"/>
    <mergeCell ref="AO85:AO86"/>
    <mergeCell ref="BJ85:BK86"/>
    <mergeCell ref="BN85:BN86"/>
    <mergeCell ref="AR88:AS88"/>
    <mergeCell ref="AM82:AM86"/>
    <mergeCell ref="BJ82:BK82"/>
    <mergeCell ref="BL82:BL86"/>
    <mergeCell ref="AK83:AL84"/>
    <mergeCell ref="AO83:AO84"/>
    <mergeCell ref="BQ88:BR88"/>
    <mergeCell ref="AK89:AL89"/>
    <mergeCell ref="AQ89:AQ90"/>
    <mergeCell ref="BJ89:BK89"/>
    <mergeCell ref="BP89:BP90"/>
    <mergeCell ref="AK90:AL90"/>
    <mergeCell ref="AM90:AM92"/>
    <mergeCell ref="BJ90:BK90"/>
    <mergeCell ref="BL90:BL92"/>
    <mergeCell ref="AK91:AL92"/>
    <mergeCell ref="AO91:AO92"/>
    <mergeCell ref="BJ91:BK92"/>
    <mergeCell ref="BN91:BN92"/>
    <mergeCell ref="BQ95:BR95"/>
    <mergeCell ref="AJ96:AJ108"/>
    <mergeCell ref="AK96:AL96"/>
    <mergeCell ref="AQ96:AQ98"/>
    <mergeCell ref="BI96:BI108"/>
    <mergeCell ref="BJ96:BK96"/>
    <mergeCell ref="BP96:BP98"/>
    <mergeCell ref="AK97:AL97"/>
    <mergeCell ref="AM97:AM101"/>
    <mergeCell ref="BJ97:BK97"/>
    <mergeCell ref="BL97:BL101"/>
    <mergeCell ref="AK98:AL99"/>
    <mergeCell ref="AO98:AO99"/>
    <mergeCell ref="BJ98:BK99"/>
    <mergeCell ref="BN98:BN99"/>
    <mergeCell ref="AK100:AL101"/>
    <mergeCell ref="AO100:AO101"/>
    <mergeCell ref="BJ100:BK101"/>
    <mergeCell ref="BN100:BN101"/>
    <mergeCell ref="AR103:AS103"/>
    <mergeCell ref="BQ103:BR103"/>
    <mergeCell ref="AK104:AL104"/>
    <mergeCell ref="AQ104:AQ105"/>
    <mergeCell ref="BP104:BP105"/>
    <mergeCell ref="AK105:AL105"/>
    <mergeCell ref="BN106:BN107"/>
    <mergeCell ref="AR111:AS111"/>
    <mergeCell ref="BQ111:BR111"/>
    <mergeCell ref="AJ112:AJ124"/>
    <mergeCell ref="AK112:AL112"/>
    <mergeCell ref="AQ112:AQ114"/>
    <mergeCell ref="BI112:BI124"/>
    <mergeCell ref="BJ112:BK112"/>
    <mergeCell ref="BP112:BP114"/>
    <mergeCell ref="AK113:AL113"/>
    <mergeCell ref="AM105:AM107"/>
    <mergeCell ref="BJ105:BK105"/>
    <mergeCell ref="BL105:BL107"/>
    <mergeCell ref="AK106:AL107"/>
    <mergeCell ref="AO106:AO107"/>
    <mergeCell ref="BJ106:BK107"/>
    <mergeCell ref="BN114:BN115"/>
    <mergeCell ref="AK116:AL117"/>
    <mergeCell ref="AO116:AO117"/>
    <mergeCell ref="BJ116:BK117"/>
    <mergeCell ref="BN116:BN117"/>
    <mergeCell ref="BN137:BN138"/>
    <mergeCell ref="AR119:AS119"/>
    <mergeCell ref="AM113:AM117"/>
    <mergeCell ref="BJ113:BK113"/>
    <mergeCell ref="BL113:BL117"/>
    <mergeCell ref="AK114:AL115"/>
    <mergeCell ref="AO114:AO115"/>
    <mergeCell ref="BJ114:BK115"/>
    <mergeCell ref="BQ119:BR119"/>
    <mergeCell ref="AK120:AL120"/>
    <mergeCell ref="AQ120:AQ121"/>
    <mergeCell ref="BJ120:BK120"/>
    <mergeCell ref="BP120:BP121"/>
    <mergeCell ref="AK121:AL121"/>
    <mergeCell ref="AM121:AM123"/>
    <mergeCell ref="BJ121:BK121"/>
    <mergeCell ref="BL121:BL123"/>
    <mergeCell ref="AK122:AL123"/>
    <mergeCell ref="AO122:AO123"/>
    <mergeCell ref="BJ122:BK123"/>
    <mergeCell ref="BN122:BN123"/>
    <mergeCell ref="BN131:BN132"/>
    <mergeCell ref="AR134:AS134"/>
    <mergeCell ref="AR126:AS126"/>
    <mergeCell ref="BQ126:BR126"/>
    <mergeCell ref="AJ127:AJ139"/>
    <mergeCell ref="AK127:AL127"/>
    <mergeCell ref="AQ127:AQ129"/>
    <mergeCell ref="BI127:BI139"/>
    <mergeCell ref="BJ127:BK127"/>
    <mergeCell ref="BQ134:BR134"/>
    <mergeCell ref="AK135:AL135"/>
    <mergeCell ref="AQ135:AQ136"/>
    <mergeCell ref="BJ135:BK135"/>
    <mergeCell ref="BP135:BP136"/>
    <mergeCell ref="AK136:AL136"/>
    <mergeCell ref="BP127:BP129"/>
    <mergeCell ref="AK128:AL128"/>
    <mergeCell ref="AM128:AM132"/>
    <mergeCell ref="BJ128:BK128"/>
    <mergeCell ref="BL128:BL132"/>
    <mergeCell ref="AK129:AL130"/>
    <mergeCell ref="AO129:AO130"/>
    <mergeCell ref="BJ129:BK130"/>
    <mergeCell ref="BN129:BN130"/>
    <mergeCell ref="AQ36:AW36"/>
    <mergeCell ref="AQ37:AX37"/>
    <mergeCell ref="AQ38:AX38"/>
    <mergeCell ref="AM136:AM138"/>
    <mergeCell ref="BJ136:BK136"/>
    <mergeCell ref="BL136:BL138"/>
    <mergeCell ref="AK137:AL138"/>
    <mergeCell ref="AO137:AO138"/>
    <mergeCell ref="BJ137:BK138"/>
    <mergeCell ref="AO131:AO132"/>
    <mergeCell ref="BJ131:BK132"/>
    <mergeCell ref="AK131:AL132"/>
    <mergeCell ref="BJ104:BK104"/>
    <mergeCell ref="AR95:AS95"/>
    <mergeCell ref="BJ83:BK84"/>
    <mergeCell ref="AR57:AS57"/>
    <mergeCell ref="AX57:AY57"/>
    <mergeCell ref="BE57:BF57"/>
    <mergeCell ref="BL59:BL61"/>
    <mergeCell ref="BJ51:BK51"/>
    <mergeCell ref="BL51:BL55"/>
    <mergeCell ref="BJ45:BP45"/>
  </mergeCells>
  <conditionalFormatting sqref="O9">
    <cfRule type="containsText" dxfId="68" priority="68" operator="containsText" text="OK">
      <formula>NOT(ISERROR(SEARCH("OK",O9)))</formula>
    </cfRule>
    <cfRule type="containsText" dxfId="67" priority="69" operator="containsText" text="NG">
      <formula>NOT(ISERROR(SEARCH("NG",O9)))</formula>
    </cfRule>
  </conditionalFormatting>
  <conditionalFormatting sqref="AP4">
    <cfRule type="containsText" dxfId="66" priority="67" operator="containsText" text="NG">
      <formula>NOT(ISERROR(SEARCH("NG",AP4)))</formula>
    </cfRule>
  </conditionalFormatting>
  <conditionalFormatting sqref="Z4">
    <cfRule type="containsText" dxfId="65" priority="66" operator="containsText" text="NG">
      <formula>NOT(ISERROR(SEARCH("NG",Z4)))</formula>
    </cfRule>
  </conditionalFormatting>
  <conditionalFormatting sqref="N9:N11">
    <cfRule type="containsText" dxfId="64" priority="64" operator="containsText" text="Type">
      <formula>NOT(ISERROR(SEARCH("Type",N9)))</formula>
    </cfRule>
    <cfRule type="containsText" dxfId="63" priority="65" operator="containsText" text="Type">
      <formula>NOT(ISERROR(SEARCH("Type",N9)))</formula>
    </cfRule>
  </conditionalFormatting>
  <conditionalFormatting sqref="R3">
    <cfRule type="containsText" dxfId="62" priority="63" operator="containsText" text="Type">
      <formula>NOT(ISERROR(SEARCH("Type",R3)))</formula>
    </cfRule>
  </conditionalFormatting>
  <conditionalFormatting sqref="W50:W52">
    <cfRule type="containsText" dxfId="61" priority="61" operator="containsText" text="OK">
      <formula>NOT(ISERROR(SEARCH("OK",W50)))</formula>
    </cfRule>
    <cfRule type="containsText" dxfId="60" priority="62" operator="containsText" text="NG">
      <formula>NOT(ISERROR(SEARCH("NG",W50)))</formula>
    </cfRule>
  </conditionalFormatting>
  <conditionalFormatting sqref="W58:W59">
    <cfRule type="containsText" dxfId="59" priority="59" operator="containsText" text="OK">
      <formula>NOT(ISERROR(SEARCH("OK",W58)))</formula>
    </cfRule>
    <cfRule type="containsText" dxfId="58" priority="60" operator="containsText" text="NG">
      <formula>NOT(ISERROR(SEARCH("NG",W58)))</formula>
    </cfRule>
  </conditionalFormatting>
  <conditionalFormatting sqref="BP50:BP52">
    <cfRule type="containsText" dxfId="57" priority="57" operator="containsText" text="OK">
      <formula>NOT(ISERROR(SEARCH("OK",BP50)))</formula>
    </cfRule>
    <cfRule type="containsText" dxfId="56" priority="58" operator="containsText" text="NG">
      <formula>NOT(ISERROR(SEARCH("NG",BP50)))</formula>
    </cfRule>
  </conditionalFormatting>
  <conditionalFormatting sqref="BP58:BP59">
    <cfRule type="containsText" dxfId="55" priority="55" operator="containsText" text="OK">
      <formula>NOT(ISERROR(SEARCH("OK",BP58)))</formula>
    </cfRule>
    <cfRule type="containsText" dxfId="54" priority="56" operator="containsText" text="NG">
      <formula>NOT(ISERROR(SEARCH("NG",BP58)))</formula>
    </cfRule>
  </conditionalFormatting>
  <conditionalFormatting sqref="BP65:BP67">
    <cfRule type="containsText" dxfId="53" priority="53" operator="containsText" text="OK">
      <formula>NOT(ISERROR(SEARCH("OK",BP65)))</formula>
    </cfRule>
    <cfRule type="containsText" dxfId="52" priority="54" operator="containsText" text="NG">
      <formula>NOT(ISERROR(SEARCH("NG",BP65)))</formula>
    </cfRule>
  </conditionalFormatting>
  <conditionalFormatting sqref="BP73:BP74">
    <cfRule type="containsText" dxfId="51" priority="51" operator="containsText" text="OK">
      <formula>NOT(ISERROR(SEARCH("OK",BP73)))</formula>
    </cfRule>
    <cfRule type="containsText" dxfId="50" priority="52" operator="containsText" text="NG">
      <formula>NOT(ISERROR(SEARCH("NG",BP73)))</formula>
    </cfRule>
  </conditionalFormatting>
  <conditionalFormatting sqref="BP81:BP83">
    <cfRule type="containsText" dxfId="49" priority="49" operator="containsText" text="OK">
      <formula>NOT(ISERROR(SEARCH("OK",BP81)))</formula>
    </cfRule>
    <cfRule type="containsText" dxfId="48" priority="50" operator="containsText" text="NG">
      <formula>NOT(ISERROR(SEARCH("NG",BP81)))</formula>
    </cfRule>
  </conditionalFormatting>
  <conditionalFormatting sqref="BP89:BP90">
    <cfRule type="containsText" dxfId="47" priority="47" operator="containsText" text="OK">
      <formula>NOT(ISERROR(SEARCH("OK",BP89)))</formula>
    </cfRule>
    <cfRule type="containsText" dxfId="46" priority="48" operator="containsText" text="NG">
      <formula>NOT(ISERROR(SEARCH("NG",BP89)))</formula>
    </cfRule>
  </conditionalFormatting>
  <conditionalFormatting sqref="BP96:BP98">
    <cfRule type="containsText" dxfId="45" priority="45" operator="containsText" text="OK">
      <formula>NOT(ISERROR(SEARCH("OK",BP96)))</formula>
    </cfRule>
    <cfRule type="containsText" dxfId="44" priority="46" operator="containsText" text="NG">
      <formula>NOT(ISERROR(SEARCH("NG",BP96)))</formula>
    </cfRule>
  </conditionalFormatting>
  <conditionalFormatting sqref="BP104:BP105">
    <cfRule type="containsText" dxfId="43" priority="43" operator="containsText" text="OK">
      <formula>NOT(ISERROR(SEARCH("OK",BP104)))</formula>
    </cfRule>
    <cfRule type="containsText" dxfId="42" priority="44" operator="containsText" text="NG">
      <formula>NOT(ISERROR(SEARCH("NG",BP104)))</formula>
    </cfRule>
  </conditionalFormatting>
  <conditionalFormatting sqref="BP112:BP114">
    <cfRule type="containsText" dxfId="41" priority="41" operator="containsText" text="OK">
      <formula>NOT(ISERROR(SEARCH("OK",BP112)))</formula>
    </cfRule>
    <cfRule type="containsText" dxfId="40" priority="42" operator="containsText" text="NG">
      <formula>NOT(ISERROR(SEARCH("NG",BP112)))</formula>
    </cfRule>
  </conditionalFormatting>
  <conditionalFormatting sqref="BP120:BP121">
    <cfRule type="containsText" dxfId="39" priority="39" operator="containsText" text="OK">
      <formula>NOT(ISERROR(SEARCH("OK",BP120)))</formula>
    </cfRule>
    <cfRule type="containsText" dxfId="38" priority="40" operator="containsText" text="NG">
      <formula>NOT(ISERROR(SEARCH("NG",BP120)))</formula>
    </cfRule>
  </conditionalFormatting>
  <conditionalFormatting sqref="BP127:BP129">
    <cfRule type="containsText" dxfId="37" priority="37" operator="containsText" text="OK">
      <formula>NOT(ISERROR(SEARCH("OK",BP127)))</formula>
    </cfRule>
    <cfRule type="containsText" dxfId="36" priority="38" operator="containsText" text="NG">
      <formula>NOT(ISERROR(SEARCH("NG",BP127)))</formula>
    </cfRule>
  </conditionalFormatting>
  <conditionalFormatting sqref="BP135:BP136">
    <cfRule type="containsText" dxfId="35" priority="35" operator="containsText" text="OK">
      <formula>NOT(ISERROR(SEARCH("OK",BP135)))</formula>
    </cfRule>
    <cfRule type="containsText" dxfId="34" priority="36" operator="containsText" text="NG">
      <formula>NOT(ISERROR(SEARCH("NG",BP135)))</formula>
    </cfRule>
  </conditionalFormatting>
  <conditionalFormatting sqref="AQ50:AQ52">
    <cfRule type="containsText" dxfId="33" priority="33" operator="containsText" text="OK">
      <formula>NOT(ISERROR(SEARCH("OK",AQ50)))</formula>
    </cfRule>
    <cfRule type="containsText" dxfId="32" priority="34" operator="containsText" text="NG">
      <formula>NOT(ISERROR(SEARCH("NG",AQ50)))</formula>
    </cfRule>
  </conditionalFormatting>
  <conditionalFormatting sqref="AQ58:AQ59">
    <cfRule type="containsText" dxfId="31" priority="31" operator="containsText" text="OK">
      <formula>NOT(ISERROR(SEARCH("OK",AQ58)))</formula>
    </cfRule>
    <cfRule type="containsText" dxfId="30" priority="32" operator="containsText" text="NG">
      <formula>NOT(ISERROR(SEARCH("NG",AQ58)))</formula>
    </cfRule>
  </conditionalFormatting>
  <conditionalFormatting sqref="AQ65:AQ67">
    <cfRule type="containsText" dxfId="29" priority="29" operator="containsText" text="OK">
      <formula>NOT(ISERROR(SEARCH("OK",AQ65)))</formula>
    </cfRule>
    <cfRule type="containsText" dxfId="28" priority="30" operator="containsText" text="NG">
      <formula>NOT(ISERROR(SEARCH("NG",AQ65)))</formula>
    </cfRule>
  </conditionalFormatting>
  <conditionalFormatting sqref="AQ73:AQ74">
    <cfRule type="containsText" dxfId="27" priority="27" operator="containsText" text="OK">
      <formula>NOT(ISERROR(SEARCH("OK",AQ73)))</formula>
    </cfRule>
    <cfRule type="containsText" dxfId="26" priority="28" operator="containsText" text="NG">
      <formula>NOT(ISERROR(SEARCH("NG",AQ73)))</formula>
    </cfRule>
  </conditionalFormatting>
  <conditionalFormatting sqref="AQ81:AQ83">
    <cfRule type="containsText" dxfId="25" priority="25" operator="containsText" text="OK">
      <formula>NOT(ISERROR(SEARCH("OK",AQ81)))</formula>
    </cfRule>
    <cfRule type="containsText" dxfId="24" priority="26" operator="containsText" text="NG">
      <formula>NOT(ISERROR(SEARCH("NG",AQ81)))</formula>
    </cfRule>
  </conditionalFormatting>
  <conditionalFormatting sqref="AQ89:AQ90">
    <cfRule type="containsText" dxfId="23" priority="23" operator="containsText" text="OK">
      <formula>NOT(ISERROR(SEARCH("OK",AQ89)))</formula>
    </cfRule>
    <cfRule type="containsText" dxfId="22" priority="24" operator="containsText" text="NG">
      <formula>NOT(ISERROR(SEARCH("NG",AQ89)))</formula>
    </cfRule>
  </conditionalFormatting>
  <conditionalFormatting sqref="AQ96:AQ98">
    <cfRule type="containsText" dxfId="21" priority="21" operator="containsText" text="OK">
      <formula>NOT(ISERROR(SEARCH("OK",AQ96)))</formula>
    </cfRule>
    <cfRule type="containsText" dxfId="20" priority="22" operator="containsText" text="NG">
      <formula>NOT(ISERROR(SEARCH("NG",AQ96)))</formula>
    </cfRule>
  </conditionalFormatting>
  <conditionalFormatting sqref="AQ104:AQ105">
    <cfRule type="containsText" dxfId="19" priority="19" operator="containsText" text="OK">
      <formula>NOT(ISERROR(SEARCH("OK",AQ104)))</formula>
    </cfRule>
    <cfRule type="containsText" dxfId="18" priority="20" operator="containsText" text="NG">
      <formula>NOT(ISERROR(SEARCH("NG",AQ104)))</formula>
    </cfRule>
  </conditionalFormatting>
  <conditionalFormatting sqref="AQ112:AQ114">
    <cfRule type="containsText" dxfId="17" priority="17" operator="containsText" text="OK">
      <formula>NOT(ISERROR(SEARCH("OK",AQ112)))</formula>
    </cfRule>
    <cfRule type="containsText" dxfId="16" priority="18" operator="containsText" text="NG">
      <formula>NOT(ISERROR(SEARCH("NG",AQ112)))</formula>
    </cfRule>
  </conditionalFormatting>
  <conditionalFormatting sqref="AQ120:AQ121">
    <cfRule type="containsText" dxfId="15" priority="15" operator="containsText" text="OK">
      <formula>NOT(ISERROR(SEARCH("OK",AQ120)))</formula>
    </cfRule>
    <cfRule type="containsText" dxfId="14" priority="16" operator="containsText" text="NG">
      <formula>NOT(ISERROR(SEARCH("NG",AQ120)))</formula>
    </cfRule>
  </conditionalFormatting>
  <conditionalFormatting sqref="AQ127:AQ129">
    <cfRule type="containsText" dxfId="13" priority="13" operator="containsText" text="OK">
      <formula>NOT(ISERROR(SEARCH("OK",AQ127)))</formula>
    </cfRule>
    <cfRule type="containsText" dxfId="12" priority="14" operator="containsText" text="NG">
      <formula>NOT(ISERROR(SEARCH("NG",AQ127)))</formula>
    </cfRule>
  </conditionalFormatting>
  <conditionalFormatting sqref="AQ135:AQ136">
    <cfRule type="containsText" dxfId="11" priority="11" operator="containsText" text="OK">
      <formula>NOT(ISERROR(SEARCH("OK",AQ135)))</formula>
    </cfRule>
    <cfRule type="containsText" dxfId="10" priority="12" operator="containsText" text="NG">
      <formula>NOT(ISERROR(SEARCH("NG",AQ135)))</formula>
    </cfRule>
  </conditionalFormatting>
  <conditionalFormatting sqref="AW50:AW52">
    <cfRule type="containsText" dxfId="9" priority="9" operator="containsText" text="OK">
      <formula>NOT(ISERROR(SEARCH("OK",AW50)))</formula>
    </cfRule>
    <cfRule type="containsText" dxfId="8" priority="10" operator="containsText" text="NG">
      <formula>NOT(ISERROR(SEARCH("NG",AW50)))</formula>
    </cfRule>
  </conditionalFormatting>
  <conditionalFormatting sqref="AW58:AW59">
    <cfRule type="containsText" dxfId="7" priority="7" operator="containsText" text="OK">
      <formula>NOT(ISERROR(SEARCH("OK",AW58)))</formula>
    </cfRule>
    <cfRule type="containsText" dxfId="6" priority="8" operator="containsText" text="NG">
      <formula>NOT(ISERROR(SEARCH("NG",AW58)))</formula>
    </cfRule>
  </conditionalFormatting>
  <conditionalFormatting sqref="BD58:BD59">
    <cfRule type="containsText" dxfId="5" priority="3" operator="containsText" text="OK">
      <formula>NOT(ISERROR(SEARCH("OK",BD58)))</formula>
    </cfRule>
    <cfRule type="containsText" dxfId="4" priority="4" operator="containsText" text="NG">
      <formula>NOT(ISERROR(SEARCH("NG",BD58)))</formula>
    </cfRule>
  </conditionalFormatting>
  <conditionalFormatting sqref="BD50:BD52">
    <cfRule type="containsText" dxfId="3" priority="5" operator="containsText" text="OK">
      <formula>NOT(ISERROR(SEARCH("OK",BD50)))</formula>
    </cfRule>
    <cfRule type="containsText" dxfId="2" priority="6" operator="containsText" text="NG">
      <formula>NOT(ISERROR(SEARCH("NG",BD50)))</formula>
    </cfRule>
  </conditionalFormatting>
  <conditionalFormatting sqref="AW64">
    <cfRule type="containsText" dxfId="1" priority="1" operator="containsText" text="OK">
      <formula>NOT(ISERROR(SEARCH("OK",AW64)))</formula>
    </cfRule>
    <cfRule type="containsText" dxfId="0" priority="2" operator="containsText" text="NG">
      <formula>NOT(ISERROR(SEARCH("NG",AW64)))</formula>
    </cfRule>
  </conditionalFormatting>
  <dataValidations count="2">
    <dataValidation type="list" allowBlank="1" showInputMessage="1" showErrorMessage="1" sqref="C4" xr:uid="{E782B9A0-FDA4-4AB4-870B-D3BBD6AED9D5}">
      <formula1>"more,less"</formula1>
    </dataValidation>
    <dataValidation type="list" allowBlank="1" showInputMessage="1" showErrorMessage="1" sqref="C5" xr:uid="{2665391B-E7A3-4DE8-99B8-58C5A7F09EC3}">
      <formula1>"up,down"</formula1>
    </dataValidation>
  </dataValidations>
  <pageMargins left="0.7" right="0.7" top="0.75" bottom="0.75" header="0.3" footer="0.3"/>
  <pageSetup paperSize="9" orientation="portrait" horizontalDpi="300" verticalDpi="0" r:id="rId1"/>
  <ignoredErrors>
    <ignoredError sqref="M2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Hashemi</dc:creator>
  <cp:lastModifiedBy>Miss Hashemi</cp:lastModifiedBy>
  <dcterms:created xsi:type="dcterms:W3CDTF">2015-06-05T18:17:20Z</dcterms:created>
  <dcterms:modified xsi:type="dcterms:W3CDTF">2025-11-02T08:14:22Z</dcterms:modified>
</cp:coreProperties>
</file>